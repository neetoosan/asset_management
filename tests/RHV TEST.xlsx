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BILLING CLAMS\Documents\"/>
    </mc:Choice>
  </mc:AlternateContent>
  <bookViews>
    <workbookView xWindow="0" yWindow="0" windowWidth="28800" windowHeight="12300"/>
  </bookViews>
  <sheets>
    <sheet name="COMBINED LK (4)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74" i="2" l="1"/>
  <c r="K73" i="2"/>
  <c r="K72" i="2"/>
  <c r="K71" i="2"/>
  <c r="K70" i="2"/>
  <c r="K69" i="2"/>
  <c r="K68" i="2"/>
  <c r="K67" i="2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<sst xmlns="http://schemas.openxmlformats.org/spreadsheetml/2006/main" count="393" uniqueCount="177">
  <si>
    <t>DESCRIPTION</t>
  </si>
  <si>
    <t>ASSET ID</t>
  </si>
  <si>
    <t>ASSET DESCRIPTION</t>
  </si>
  <si>
    <t>CATEGORY</t>
  </si>
  <si>
    <t>SUB CATEGORY</t>
  </si>
  <si>
    <t>ACQUISTION DATE</t>
  </si>
  <si>
    <t>SUPPLIER/VENDOR</t>
  </si>
  <si>
    <t>QUANITY</t>
  </si>
  <si>
    <t>UNIT COST</t>
  </si>
  <si>
    <t>TOTAL COST</t>
  </si>
  <si>
    <t>USEFULL LIFE</t>
  </si>
  <si>
    <t>DEPRECIATION METHOD</t>
  </si>
  <si>
    <t>ACCUMULATED DEPRECIATION</t>
  </si>
  <si>
    <t>NETBOOK VALUE</t>
  </si>
  <si>
    <t>DEPARTMENT/LOCATION</t>
  </si>
  <si>
    <t>CUSTODIAN/USER</t>
  </si>
  <si>
    <t>SERIAL NUMBER</t>
  </si>
  <si>
    <t>MODEL NUMBER</t>
  </si>
  <si>
    <t>DEPRECIATION PERCENTAGE</t>
  </si>
  <si>
    <t>SCRAP VALUE</t>
  </si>
  <si>
    <t>STATUS</t>
  </si>
  <si>
    <t>SAMSUNG OUTDOOR HIGH WALLS AC (13 UNITS)</t>
  </si>
  <si>
    <t>PM 131</t>
  </si>
  <si>
    <t>FURNITURE AND FITTINGS</t>
  </si>
  <si>
    <t>5 YEARS</t>
  </si>
  <si>
    <t>FACILTY</t>
  </si>
  <si>
    <t>AM180MXVAGC/TL</t>
  </si>
  <si>
    <t>ORZTPAOR700004L</t>
  </si>
  <si>
    <t>FUNTIONING</t>
  </si>
  <si>
    <t>SAMSUNG OUTDOOR FRESH AIR</t>
  </si>
  <si>
    <t>PM150</t>
  </si>
  <si>
    <t>ACCIDENT AND EMMERGENY</t>
  </si>
  <si>
    <t>AM080FXVAGH/EU</t>
  </si>
  <si>
    <t>BO2HP36GG10000574</t>
  </si>
  <si>
    <t>SAMSUNG OUTDOOR CASSETTE  (3UNIT</t>
  </si>
  <si>
    <t>PM 151</t>
  </si>
  <si>
    <t>COO OFFICE</t>
  </si>
  <si>
    <t>BO2HP36GG1000069M</t>
  </si>
  <si>
    <t>STEEL KITCHEN MORKING TABLE</t>
  </si>
  <si>
    <t>FF1765</t>
  </si>
  <si>
    <t>4 YEARS</t>
  </si>
  <si>
    <t>KITCHEN</t>
  </si>
  <si>
    <t>KITCHEN WEIGHING SCALE</t>
  </si>
  <si>
    <t>FF1769</t>
  </si>
  <si>
    <t>ELECTRIC BLENDER (4 UNITS)</t>
  </si>
  <si>
    <t>FF/2001</t>
  </si>
  <si>
    <t>OFFICE TABLE</t>
  </si>
  <si>
    <t>FF 1774</t>
  </si>
  <si>
    <t>LENOVO DESKTOP</t>
  </si>
  <si>
    <t>OE 266</t>
  </si>
  <si>
    <t>OFFICE EQUIPMENT</t>
  </si>
  <si>
    <t>INTERCOM</t>
  </si>
  <si>
    <t>OE 267</t>
  </si>
  <si>
    <t>BANQUET CHAIR.</t>
  </si>
  <si>
    <t>FF 1771</t>
  </si>
  <si>
    <t>CHAPEL</t>
  </si>
  <si>
    <t>FF 1772</t>
  </si>
  <si>
    <t>OFFICE NECK CHAN</t>
  </si>
  <si>
    <t>FF 1773</t>
  </si>
  <si>
    <t>SAMSUNG SPLIT AC</t>
  </si>
  <si>
    <t>FF 1770</t>
  </si>
  <si>
    <t>FF 1780</t>
  </si>
  <si>
    <t>FF 1779</t>
  </si>
  <si>
    <t>GOPC</t>
  </si>
  <si>
    <t>OFFICE LEATHER COUCH</t>
  </si>
  <si>
    <t>FF 1778</t>
  </si>
  <si>
    <t>OE 268</t>
  </si>
  <si>
    <t>OE 269</t>
  </si>
  <si>
    <t>STEEL KITCHEN WORKING TABLE (5 UNIT)</t>
  </si>
  <si>
    <t xml:space="preserve">FF 1781- 1785 </t>
  </si>
  <si>
    <t>FF 1816</t>
  </si>
  <si>
    <t>FF 1817</t>
  </si>
  <si>
    <t>SAMSUNG CEILING FITTED AC</t>
  </si>
  <si>
    <t>FF1787</t>
  </si>
  <si>
    <t>FF1788</t>
  </si>
  <si>
    <t>RECEPTION</t>
  </si>
  <si>
    <t>WOODEN DESK TABLE</t>
  </si>
  <si>
    <t>FF1789</t>
  </si>
  <si>
    <t>PHARMACY</t>
  </si>
  <si>
    <t>RECTAGULAR CONFERENCE TABLE</t>
  </si>
  <si>
    <t>FF1790</t>
  </si>
  <si>
    <t>CONFERENCE ROOM</t>
  </si>
  <si>
    <t xml:space="preserve">CONFERENCE NET CHAIRS (14 UNITS) </t>
  </si>
  <si>
    <t>FF1791 -FF1803</t>
  </si>
  <si>
    <t>EXECUTIVE LEATHER OFFICE CHAIR</t>
  </si>
  <si>
    <t>FF1804</t>
  </si>
  <si>
    <t>PENDANT</t>
  </si>
  <si>
    <t>HE1012</t>
  </si>
  <si>
    <t>HOSPITAL EQUIPMENT</t>
  </si>
  <si>
    <t>MARTERNITY WARD</t>
  </si>
  <si>
    <t>FF1807</t>
  </si>
  <si>
    <t>VIP WARD</t>
  </si>
  <si>
    <t>FF1808</t>
  </si>
  <si>
    <t>VIP SEWADE EXECUTIVE ROYAL CHAIR</t>
  </si>
  <si>
    <t>FF1805</t>
  </si>
  <si>
    <t>FF1806</t>
  </si>
  <si>
    <t>IRON RACK</t>
  </si>
  <si>
    <t>OE 216</t>
  </si>
  <si>
    <t>IT EQUIPMENT ROOM</t>
  </si>
  <si>
    <t>ACCESS POINT</t>
  </si>
  <si>
    <t>OE224</t>
  </si>
  <si>
    <t>OE 225</t>
  </si>
  <si>
    <t>NETWORK SWITCH</t>
  </si>
  <si>
    <t>OE 0238</t>
  </si>
  <si>
    <t>SERVER RM 2</t>
  </si>
  <si>
    <t>NETWORK FIBRE WITH</t>
  </si>
  <si>
    <t>OE 0240</t>
  </si>
  <si>
    <t>IRON LONG RACK</t>
  </si>
  <si>
    <t>OE 0242</t>
  </si>
  <si>
    <t>FF 1819</t>
  </si>
  <si>
    <t>LONG IRON RACK</t>
  </si>
  <si>
    <t>OE 303</t>
  </si>
  <si>
    <t>SERVER RM 1</t>
  </si>
  <si>
    <t>OE 308</t>
  </si>
  <si>
    <t>CISCO ACCESS POINT CONTORLLER</t>
  </si>
  <si>
    <t>OE 310</t>
  </si>
  <si>
    <t>LENOVO DESKTOP (SERVER NORKSTATION)</t>
  </si>
  <si>
    <t>OE 314</t>
  </si>
  <si>
    <t>UPS</t>
  </si>
  <si>
    <t>OE 315</t>
  </si>
  <si>
    <t>SOPHOS FIREWALL</t>
  </si>
  <si>
    <t>OE 316</t>
  </si>
  <si>
    <t>BOSCH AMPLIFIER</t>
  </si>
  <si>
    <t>OE 320</t>
  </si>
  <si>
    <t>MIR STREATCHER</t>
  </si>
  <si>
    <t>HE/018</t>
  </si>
  <si>
    <t>RADIOLOGY LOUNGE</t>
  </si>
  <si>
    <t>VITAL SIGN MONITOR</t>
  </si>
  <si>
    <t>HE/019</t>
  </si>
  <si>
    <t>STORE CABINET</t>
  </si>
  <si>
    <t>FF/199</t>
  </si>
  <si>
    <t>VIEWING BOX</t>
  </si>
  <si>
    <t>HE/020</t>
  </si>
  <si>
    <t>STAINLESS AIRPORT CHAIR</t>
  </si>
  <si>
    <t>FF/160</t>
  </si>
  <si>
    <t>RADIOLOGY FRONT DESK</t>
  </si>
  <si>
    <t>DESKTOP LENOVO</t>
  </si>
  <si>
    <t>OE/041</t>
  </si>
  <si>
    <t>OFFICE CHAIR NET</t>
  </si>
  <si>
    <t>FF/166</t>
  </si>
  <si>
    <t>FF/167</t>
  </si>
  <si>
    <t>SAMSUNG A/C SPLIT</t>
  </si>
  <si>
    <t>FF/242</t>
  </si>
  <si>
    <t>INSTRUMENTATION ROOM (OPTHAL)</t>
  </si>
  <si>
    <t>LONG CABINET (WHITE)</t>
  </si>
  <si>
    <t>AUTO REFRACTOR</t>
  </si>
  <si>
    <t>HE/031</t>
  </si>
  <si>
    <t>CENTRAL VISUAL FIELD ANALIZER</t>
  </si>
  <si>
    <t>HE/032</t>
  </si>
  <si>
    <t>SYNOPTOPHORE</t>
  </si>
  <si>
    <t>HE/033</t>
  </si>
  <si>
    <t>PHOROPTER</t>
  </si>
  <si>
    <t>HE/034</t>
  </si>
  <si>
    <t>A &amp; B SCANNER</t>
  </si>
  <si>
    <t>HE/035</t>
  </si>
  <si>
    <t>SMALL TABLE (WHITE)</t>
  </si>
  <si>
    <t>FF/239</t>
  </si>
  <si>
    <t>INDIRECT OPHTAMOSCOPE</t>
  </si>
  <si>
    <t>HE/036</t>
  </si>
  <si>
    <t>EXAMINATION COUCH</t>
  </si>
  <si>
    <t>HE/037</t>
  </si>
  <si>
    <t>ADJUSTABLE  SWIVEL STOOL</t>
  </si>
  <si>
    <t>FF/247</t>
  </si>
  <si>
    <t>FF/248</t>
  </si>
  <si>
    <t>WATER BATH</t>
  </si>
  <si>
    <t>HE/067</t>
  </si>
  <si>
    <t>MAIN LABORATORY</t>
  </si>
  <si>
    <t>LABORATORY WORKING BENCH</t>
  </si>
  <si>
    <t>FF/290</t>
  </si>
  <si>
    <t xml:space="preserve">FULLY AUTOMATED CHEMISTRY MACHINE B5430 </t>
  </si>
  <si>
    <t>HE/068</t>
  </si>
  <si>
    <t>FULLY AUTOMATED URINALYSIS (EU5300) SYSTEM</t>
  </si>
  <si>
    <t>HE/069</t>
  </si>
  <si>
    <t>AUTO COAGULATION SYSEM (C3510)</t>
  </si>
  <si>
    <t>HE/070</t>
  </si>
  <si>
    <t>HEMATOLOGY MACHINE (BC5000)</t>
  </si>
  <si>
    <t>HE/071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</si>
</sst>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1"/>
      <name val="Calibri"/>
    </font>
    <font>
      <b/>
      <sz val="16"/>
      <color rgb="FF000000"/>
      <name val="Times New Roman"/>
    </font>
    <font>
      <sz val="11"/>
      <color rgb="FF000000"/>
      <name val="Calibri"/>
    </font>
    <font>
      <sz val="14"/>
      <color rgb="FF000000"/>
      <name val="Times New Roman"/>
    </font>
    <font>
      <b/>
      <sz val="14"/>
      <color rgb="FF000000"/>
      <name val="Times New Roman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0" fontId="1" fillId="0" borderId="0">
      <alignment vertical="center"/>
    </xf>
    <xf numFmtId="0" fontId="3" fillId="0" borderId="0"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7">
    <xf numFmtId="0" fontId="0" fillId="0" borderId="0" xfId="0"/>
    <xf numFmtId="0" fontId="4" fillId="0" borderId="0" xfId="2" applyFont="1" applyBorder="1" applyAlignment="1" applyProtection="1">
      <alignment wrapText="1"/>
    </xf>
    <xf numFmtId="43" fontId="4" fillId="0" borderId="0" xfId="3" applyFont="1" applyBorder="1" applyAlignment="1" applyProtection="1">
      <alignment wrapText="1"/>
    </xf>
    <xf numFmtId="0" fontId="4" fillId="0" borderId="0" xfId="2" applyFont="1" applyBorder="1" applyAlignment="1" applyProtection="1"/>
    <xf numFmtId="0" fontId="2" fillId="0" borderId="1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/>
    </xf>
    <xf numFmtId="0" fontId="5" fillId="0" borderId="0" xfId="1" applyFont="1" applyBorder="1" applyAlignment="1">
      <alignment horizontal="center"/>
    </xf>
    <xf numFmtId="0" fontId="4" fillId="0" borderId="1" xfId="2" applyFont="1" applyBorder="1" applyAlignment="1" applyProtection="1">
      <alignment wrapText="1"/>
    </xf>
    <xf numFmtId="0" fontId="4" fillId="0" borderId="1" xfId="2" applyFont="1" applyBorder="1" applyAlignment="1" applyProtection="1"/>
    <xf numFmtId="43" fontId="4" fillId="0" borderId="1" xfId="3" applyFont="1" applyBorder="1" applyAlignment="1" applyProtection="1">
      <alignment wrapText="1"/>
    </xf>
    <xf numFmtId="43" fontId="4" fillId="0" borderId="1" xfId="3" applyFont="1" applyBorder="1" applyAlignment="1" applyProtection="1"/>
    <xf numFmtId="9" fontId="4" fillId="0" borderId="1" xfId="4" applyNumberFormat="1" applyFont="1" applyBorder="1" applyAlignment="1" applyProtection="1"/>
    <xf numFmtId="0" fontId="4" fillId="0" borderId="1" xfId="1" applyFont="1" applyBorder="1" applyAlignment="1">
      <alignment wrapText="1"/>
    </xf>
    <xf numFmtId="0" fontId="4" fillId="0" borderId="2" xfId="1" applyFont="1" applyBorder="1" applyAlignment="1">
      <alignment wrapText="1"/>
    </xf>
    <xf numFmtId="0" fontId="4" fillId="0" borderId="2" xfId="2" applyFont="1" applyBorder="1" applyAlignment="1" applyProtection="1"/>
    <xf numFmtId="0" fontId="4" fillId="0" borderId="2" xfId="2" applyFont="1" applyBorder="1" applyAlignment="1" applyProtection="1">
      <alignment wrapText="1"/>
    </xf>
    <xf numFmtId="43" fontId="4" fillId="0" borderId="2" xfId="3" applyFont="1" applyBorder="1" applyAlignment="1" applyProtection="1">
      <alignment wrapText="1"/>
    </xf>
    <xf numFmtId="0" fontId="4" fillId="0" borderId="3" xfId="2" applyFont="1" applyBorder="1" applyAlignment="1" applyProtection="1"/>
    <xf numFmtId="0" fontId="4" fillId="0" borderId="3" xfId="2" applyFont="1" applyBorder="1" applyAlignment="1" applyProtection="1">
      <alignment wrapText="1"/>
    </xf>
    <xf numFmtId="9" fontId="4" fillId="0" borderId="1" xfId="2" applyNumberFormat="1" applyFont="1" applyBorder="1" applyAlignment="1" applyProtection="1"/>
    <xf numFmtId="43" fontId="4" fillId="0" borderId="3" xfId="3" applyFont="1" applyBorder="1" applyAlignment="1" applyProtection="1"/>
    <xf numFmtId="9" fontId="4" fillId="0" borderId="3" xfId="2" applyNumberFormat="1" applyFont="1" applyBorder="1" applyAlignment="1" applyProtection="1"/>
    <xf numFmtId="43" fontId="4" fillId="0" borderId="2" xfId="3" applyFont="1" applyBorder="1" applyAlignment="1" applyProtection="1"/>
    <xf numFmtId="43" fontId="4" fillId="0" borderId="3" xfId="3" applyFont="1" applyBorder="1" applyAlignment="1" applyProtection="1">
      <alignment wrapText="1"/>
    </xf>
    <xf numFmtId="0" fontId="4" fillId="0" borderId="4" xfId="2" applyFont="1" applyBorder="1" applyAlignment="1" applyProtection="1">
      <alignment wrapText="1"/>
    </xf>
    <xf numFmtId="43" fontId="4" fillId="0" borderId="4" xfId="3" applyFont="1" applyBorder="1" applyAlignment="1" applyProtection="1">
      <alignment wrapText="1"/>
    </xf>
    <xf numFmtId="0" fontId="4" fillId="0" borderId="4" xfId="2" applyFont="1" applyBorder="1" applyAlignment="1" applyProtection="1"/>
    <xf numFmtId="0" fontId="4" fillId="0" borderId="3" xfId="1" applyFont="1" applyBorder="1" applyAlignment="1">
      <alignment wrapText="1"/>
    </xf>
    <xf numFmtId="0" fontId="4" fillId="0" borderId="3" xfId="1" applyFont="1" applyBorder="1" applyAlignment="1"/>
    <xf numFmtId="43" fontId="4" fillId="0" borderId="3" xfId="3" applyFont="1" applyBorder="1" applyAlignment="1">
      <alignment wrapText="1"/>
    </xf>
    <xf numFmtId="0" fontId="4" fillId="0" borderId="0" xfId="1" applyFont="1" applyBorder="1" applyAlignment="1"/>
    <xf numFmtId="0" fontId="4" fillId="0" borderId="1" xfId="1" applyFont="1" applyBorder="1" applyAlignment="1"/>
    <xf numFmtId="43" fontId="4" fillId="0" borderId="1" xfId="3" applyFont="1" applyBorder="1" applyAlignment="1">
      <alignment wrapText="1"/>
    </xf>
    <xf numFmtId="0" fontId="4" fillId="0" borderId="2" xfId="1" applyFont="1" applyBorder="1" applyAlignment="1"/>
    <xf numFmtId="0" fontId="4" fillId="0" borderId="4" xfId="1" applyFont="1" applyBorder="1" applyAlignment="1">
      <alignment wrapText="1"/>
    </xf>
    <xf numFmtId="0" fontId="2" fillId="0" borderId="1" xfId="1" applyFont="1" applyBorder="1" applyAlignment="1"/>
    <xf numFmtId="0" fontId="2" fillId="0" borderId="1" xfId="1" applyFont="1" applyBorder="1" applyAlignment="1">
      <alignment wrapText="1"/>
    </xf>
  </cellXfs>
  <cellStyles count="5">
    <cellStyle name="Comma 2" xfId="3"/>
    <cellStyle name="Normal" xfId="0" builtinId="0"/>
    <cellStyle name="Normal 2" xfId="1"/>
    <cellStyle name="Normal 2 2" xfId="2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74"/>
  <sheetViews>
    <sheetView tabSelected="1" zoomScale="53" zoomScaleNormal="53" workbookViewId="0">
      <selection activeCell="L29" sqref="L29"/>
    </sheetView>
  </sheetViews>
  <sheetFormatPr defaultColWidth="28.42578125" defaultRowHeight="18.75" x14ac:dyDescent="0.3"/>
  <cols>
    <col min="1" max="1" width="15.140625" style="3" customWidth="1"/>
    <col min="2" max="2" width="34.140625" style="1" customWidth="1"/>
    <col min="3" max="3" width="24.42578125" style="3" customWidth="1"/>
    <col min="4" max="4" width="26" style="3" customWidth="1"/>
    <col min="5" max="7" width="19.140625" style="1" customWidth="1"/>
    <col min="8" max="8" width="16.42578125" style="1" customWidth="1"/>
    <col min="9" max="9" width="19.140625" style="1" customWidth="1"/>
    <col min="10" max="10" width="19.140625" style="2" customWidth="1"/>
    <col min="11" max="11" width="23.140625" style="2" customWidth="1"/>
    <col min="12" max="12" width="18" style="3" customWidth="1"/>
    <col min="13" max="13" width="25.28515625" style="3" customWidth="1"/>
    <col min="14" max="14" width="26.5703125" style="3" customWidth="1"/>
    <col min="15" max="15" width="18.5703125" style="3" customWidth="1"/>
    <col min="16" max="17" width="38" style="3" customWidth="1"/>
    <col min="18" max="18" width="30.5703125" style="3" customWidth="1"/>
    <col min="19" max="19" width="28.85546875" style="3" customWidth="1"/>
    <col min="20" max="20" width="27.140625" style="3" customWidth="1"/>
    <col min="21" max="21" width="18.7109375" style="3" customWidth="1"/>
    <col min="22" max="22" width="24.7109375" style="3" customWidth="1"/>
    <col min="23" max="16384" width="28.42578125" style="3"/>
  </cols>
  <sheetData>
    <row r="2" spans="2:24" ht="40.5" x14ac:dyDescent="0.3"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35" t="s">
        <v>5</v>
      </c>
      <c r="H2" s="36" t="s">
        <v>6</v>
      </c>
      <c r="I2" s="35" t="s">
        <v>7</v>
      </c>
      <c r="J2" s="9" t="s">
        <v>8</v>
      </c>
      <c r="K2" s="9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5" t="s">
        <v>14</v>
      </c>
      <c r="Q2" s="5" t="s">
        <v>15</v>
      </c>
      <c r="R2" s="4" t="s">
        <v>16</v>
      </c>
      <c r="S2" s="4" t="s">
        <v>17</v>
      </c>
      <c r="T2" s="4" t="s">
        <v>18</v>
      </c>
      <c r="U2" s="4" t="s">
        <v>19</v>
      </c>
      <c r="V2" s="5" t="s">
        <v>20</v>
      </c>
      <c r="W2" s="6"/>
      <c r="X2" s="6"/>
    </row>
    <row r="3" spans="2:24" ht="56.25" x14ac:dyDescent="0.3">
      <c r="B3" s="7" t="s">
        <v>21</v>
      </c>
      <c r="C3" s="8" t="s">
        <v>22</v>
      </c>
      <c r="D3" s="8"/>
      <c r="E3" s="7" t="s">
        <v>23</v>
      </c>
      <c r="F3" s="7"/>
      <c r="G3" s="7"/>
      <c r="H3" s="7"/>
      <c r="I3" s="7">
        <v>3</v>
      </c>
      <c r="J3" s="9">
        <v>500000</v>
      </c>
      <c r="K3" s="10">
        <f>J3*I3</f>
        <v>1500000</v>
      </c>
      <c r="L3" s="8" t="s">
        <v>24</v>
      </c>
      <c r="M3" s="8"/>
      <c r="N3" s="8"/>
      <c r="O3" s="8"/>
      <c r="P3" s="8" t="s">
        <v>25</v>
      </c>
      <c r="Q3" s="8"/>
      <c r="R3" s="8" t="s">
        <v>26</v>
      </c>
      <c r="S3" s="8" t="s">
        <v>27</v>
      </c>
      <c r="T3" s="11">
        <v>0.05</v>
      </c>
      <c r="U3" s="10">
        <v>5000</v>
      </c>
      <c r="V3" s="8" t="s">
        <v>28</v>
      </c>
    </row>
    <row r="4" spans="2:24" ht="56.25" x14ac:dyDescent="0.3">
      <c r="B4" s="12" t="s">
        <v>29</v>
      </c>
      <c r="C4" s="8" t="s">
        <v>30</v>
      </c>
      <c r="D4" s="8"/>
      <c r="E4" s="7" t="s">
        <v>23</v>
      </c>
      <c r="F4" s="7"/>
      <c r="G4" s="7"/>
      <c r="H4" s="7"/>
      <c r="I4" s="7">
        <v>3</v>
      </c>
      <c r="J4" s="9">
        <v>300000</v>
      </c>
      <c r="K4" s="10">
        <f>J4*I4</f>
        <v>900000</v>
      </c>
      <c r="L4" s="8" t="s">
        <v>24</v>
      </c>
      <c r="M4" s="8"/>
      <c r="N4" s="8"/>
      <c r="O4" s="8"/>
      <c r="P4" s="7" t="s">
        <v>31</v>
      </c>
      <c r="Q4" s="7"/>
      <c r="R4" s="8" t="s">
        <v>32</v>
      </c>
      <c r="S4" s="8" t="s">
        <v>33</v>
      </c>
      <c r="T4" s="11">
        <v>0.05</v>
      </c>
      <c r="U4" s="10">
        <v>5000</v>
      </c>
      <c r="V4" s="8" t="s">
        <v>28</v>
      </c>
    </row>
    <row r="5" spans="2:24" ht="56.25" x14ac:dyDescent="0.3">
      <c r="B5" s="13" t="s">
        <v>34</v>
      </c>
      <c r="C5" s="14" t="s">
        <v>35</v>
      </c>
      <c r="D5" s="14"/>
      <c r="E5" s="7" t="s">
        <v>23</v>
      </c>
      <c r="F5" s="15"/>
      <c r="G5" s="15"/>
      <c r="H5" s="15"/>
      <c r="I5" s="15">
        <v>2</v>
      </c>
      <c r="J5" s="16">
        <v>250000</v>
      </c>
      <c r="K5" s="10">
        <f>J5*I5</f>
        <v>500000</v>
      </c>
      <c r="L5" s="8" t="s">
        <v>24</v>
      </c>
      <c r="M5" s="14"/>
      <c r="N5" s="14"/>
      <c r="O5" s="14"/>
      <c r="P5" s="14" t="s">
        <v>36</v>
      </c>
      <c r="Q5" s="14"/>
      <c r="R5" s="14" t="s">
        <v>32</v>
      </c>
      <c r="S5" s="14" t="s">
        <v>37</v>
      </c>
      <c r="T5" s="11">
        <v>0.05</v>
      </c>
      <c r="U5" s="10">
        <v>5000</v>
      </c>
      <c r="V5" s="8" t="s">
        <v>28</v>
      </c>
    </row>
    <row r="6" spans="2:24" ht="56.25" x14ac:dyDescent="0.3">
      <c r="B6" s="7" t="s">
        <v>38</v>
      </c>
      <c r="C6" s="8" t="s">
        <v>39</v>
      </c>
      <c r="D6" s="8"/>
      <c r="E6" s="7" t="s">
        <v>23</v>
      </c>
      <c r="F6" s="7"/>
      <c r="G6" s="7"/>
      <c r="H6" s="7"/>
      <c r="I6" s="7">
        <v>1</v>
      </c>
      <c r="J6" s="9">
        <v>50000</v>
      </c>
      <c r="K6" s="10">
        <f t="shared" ref="K6:K69" si="0">J6*I6</f>
        <v>50000</v>
      </c>
      <c r="L6" s="8" t="s">
        <v>40</v>
      </c>
      <c r="M6" s="8"/>
      <c r="N6" s="8"/>
      <c r="O6" s="8"/>
      <c r="P6" s="8" t="s">
        <v>41</v>
      </c>
      <c r="Q6" s="8"/>
      <c r="R6" s="8"/>
      <c r="S6" s="8"/>
      <c r="T6" s="11">
        <v>0.1</v>
      </c>
      <c r="U6" s="10">
        <v>2000</v>
      </c>
      <c r="V6" s="8" t="s">
        <v>28</v>
      </c>
    </row>
    <row r="7" spans="2:24" ht="56.25" x14ac:dyDescent="0.3">
      <c r="B7" s="7" t="s">
        <v>42</v>
      </c>
      <c r="C7" s="8" t="s">
        <v>43</v>
      </c>
      <c r="D7" s="8"/>
      <c r="E7" s="7" t="s">
        <v>23</v>
      </c>
      <c r="F7" s="7"/>
      <c r="G7" s="7"/>
      <c r="H7" s="7"/>
      <c r="I7" s="7">
        <v>1</v>
      </c>
      <c r="J7" s="10">
        <v>70000</v>
      </c>
      <c r="K7" s="10">
        <f t="shared" si="0"/>
        <v>70000</v>
      </c>
      <c r="L7" s="8" t="s">
        <v>40</v>
      </c>
      <c r="M7" s="8"/>
      <c r="N7" s="8"/>
      <c r="O7" s="8"/>
      <c r="P7" s="8" t="s">
        <v>41</v>
      </c>
      <c r="Q7" s="8"/>
      <c r="R7" s="8"/>
      <c r="S7" s="8"/>
      <c r="T7" s="11">
        <v>0.1</v>
      </c>
      <c r="U7" s="10">
        <v>1500</v>
      </c>
      <c r="V7" s="8" t="s">
        <v>28</v>
      </c>
    </row>
    <row r="8" spans="2:24" ht="56.25" x14ac:dyDescent="0.3">
      <c r="B8" s="7" t="s">
        <v>44</v>
      </c>
      <c r="C8" s="8" t="s">
        <v>45</v>
      </c>
      <c r="D8" s="8"/>
      <c r="E8" s="7" t="s">
        <v>23</v>
      </c>
      <c r="F8" s="7"/>
      <c r="G8" s="7"/>
      <c r="H8" s="7"/>
      <c r="I8" s="7">
        <v>1</v>
      </c>
      <c r="J8" s="10">
        <v>85000</v>
      </c>
      <c r="K8" s="10">
        <f t="shared" si="0"/>
        <v>85000</v>
      </c>
      <c r="L8" s="8" t="s">
        <v>40</v>
      </c>
      <c r="M8" s="8"/>
      <c r="N8" s="8"/>
      <c r="O8" s="8"/>
      <c r="P8" s="8" t="s">
        <v>41</v>
      </c>
      <c r="Q8" s="8"/>
      <c r="R8" s="8"/>
      <c r="S8" s="8"/>
      <c r="T8" s="11">
        <v>0.1</v>
      </c>
      <c r="U8" s="10">
        <v>2500</v>
      </c>
      <c r="V8" s="8" t="s">
        <v>28</v>
      </c>
    </row>
    <row r="9" spans="2:24" ht="56.25" x14ac:dyDescent="0.3">
      <c r="B9" s="7" t="s">
        <v>46</v>
      </c>
      <c r="C9" s="8" t="s">
        <v>47</v>
      </c>
      <c r="D9" s="17"/>
      <c r="E9" s="18" t="s">
        <v>23</v>
      </c>
      <c r="F9" s="18"/>
      <c r="G9" s="18"/>
      <c r="H9" s="18"/>
      <c r="I9" s="7">
        <v>1</v>
      </c>
      <c r="J9" s="10">
        <v>60000</v>
      </c>
      <c r="K9" s="10">
        <f t="shared" si="0"/>
        <v>60000</v>
      </c>
      <c r="L9" s="8" t="s">
        <v>40</v>
      </c>
      <c r="M9" s="8"/>
      <c r="N9" s="8"/>
      <c r="O9" s="8"/>
      <c r="P9" s="17" t="s">
        <v>36</v>
      </c>
      <c r="Q9" s="17"/>
      <c r="R9" s="8"/>
      <c r="S9" s="8"/>
      <c r="T9" s="19">
        <v>0.05</v>
      </c>
      <c r="U9" s="8"/>
      <c r="V9" s="8"/>
    </row>
    <row r="10" spans="2:24" ht="37.5" x14ac:dyDescent="0.3">
      <c r="B10" s="7" t="s">
        <v>48</v>
      </c>
      <c r="C10" s="8" t="s">
        <v>49</v>
      </c>
      <c r="D10" s="8"/>
      <c r="E10" s="7" t="s">
        <v>50</v>
      </c>
      <c r="F10" s="7"/>
      <c r="G10" s="7"/>
      <c r="H10" s="7"/>
      <c r="I10" s="7">
        <v>1</v>
      </c>
      <c r="J10" s="10">
        <v>550000</v>
      </c>
      <c r="K10" s="10">
        <f t="shared" si="0"/>
        <v>550000</v>
      </c>
      <c r="L10" s="8" t="s">
        <v>40</v>
      </c>
      <c r="M10" s="8"/>
      <c r="N10" s="8"/>
      <c r="O10" s="8"/>
      <c r="P10" s="17" t="s">
        <v>36</v>
      </c>
      <c r="Q10" s="17"/>
      <c r="R10" s="8"/>
      <c r="S10" s="8"/>
      <c r="T10" s="19">
        <v>0.05</v>
      </c>
      <c r="U10" s="8"/>
      <c r="V10" s="8"/>
    </row>
    <row r="11" spans="2:24" ht="37.5" x14ac:dyDescent="0.3">
      <c r="B11" s="7" t="s">
        <v>51</v>
      </c>
      <c r="C11" s="8" t="s">
        <v>52</v>
      </c>
      <c r="D11" s="8"/>
      <c r="E11" s="7" t="s">
        <v>50</v>
      </c>
      <c r="F11" s="7"/>
      <c r="G11" s="7"/>
      <c r="H11" s="7"/>
      <c r="I11" s="7">
        <v>1</v>
      </c>
      <c r="J11" s="10">
        <v>25000</v>
      </c>
      <c r="K11" s="10">
        <f t="shared" si="0"/>
        <v>25000</v>
      </c>
      <c r="L11" s="8" t="s">
        <v>40</v>
      </c>
      <c r="M11" s="8"/>
      <c r="N11" s="8"/>
      <c r="O11" s="8"/>
      <c r="P11" s="17" t="s">
        <v>36</v>
      </c>
      <c r="Q11" s="17"/>
      <c r="R11" s="8"/>
      <c r="S11" s="8"/>
      <c r="T11" s="19">
        <v>0.05</v>
      </c>
      <c r="U11" s="8"/>
      <c r="V11" s="8"/>
    </row>
    <row r="12" spans="2:24" ht="56.25" x14ac:dyDescent="0.3">
      <c r="B12" s="7" t="s">
        <v>53</v>
      </c>
      <c r="C12" s="8" t="s">
        <v>54</v>
      </c>
      <c r="D12" s="8"/>
      <c r="E12" s="7" t="s">
        <v>23</v>
      </c>
      <c r="F12" s="7"/>
      <c r="G12" s="7"/>
      <c r="H12" s="7"/>
      <c r="I12" s="7">
        <v>1</v>
      </c>
      <c r="J12" s="10">
        <v>35000</v>
      </c>
      <c r="K12" s="10">
        <f t="shared" si="0"/>
        <v>35000</v>
      </c>
      <c r="L12" s="8" t="s">
        <v>40</v>
      </c>
      <c r="M12" s="8"/>
      <c r="N12" s="8"/>
      <c r="O12" s="8"/>
      <c r="P12" s="8" t="s">
        <v>55</v>
      </c>
      <c r="Q12" s="8"/>
      <c r="R12" s="8"/>
      <c r="S12" s="8"/>
      <c r="T12" s="19">
        <v>0.05</v>
      </c>
      <c r="U12" s="8"/>
      <c r="V12" s="8"/>
    </row>
    <row r="13" spans="2:24" ht="56.25" x14ac:dyDescent="0.3">
      <c r="B13" s="7" t="s">
        <v>53</v>
      </c>
      <c r="C13" s="8" t="s">
        <v>56</v>
      </c>
      <c r="D13" s="8"/>
      <c r="E13" s="7" t="s">
        <v>23</v>
      </c>
      <c r="F13" s="7"/>
      <c r="G13" s="7"/>
      <c r="H13" s="7"/>
      <c r="I13" s="7">
        <v>1</v>
      </c>
      <c r="J13" s="10">
        <v>35000</v>
      </c>
      <c r="K13" s="10">
        <f t="shared" si="0"/>
        <v>35000</v>
      </c>
      <c r="L13" s="8" t="s">
        <v>40</v>
      </c>
      <c r="M13" s="8"/>
      <c r="N13" s="8"/>
      <c r="O13" s="8"/>
      <c r="P13" s="8" t="s">
        <v>55</v>
      </c>
      <c r="Q13" s="8"/>
      <c r="R13" s="8"/>
      <c r="S13" s="8"/>
      <c r="T13" s="19">
        <v>0.05</v>
      </c>
      <c r="U13" s="8"/>
      <c r="V13" s="8"/>
    </row>
    <row r="14" spans="2:24" ht="56.25" x14ac:dyDescent="0.3">
      <c r="B14" s="7" t="s">
        <v>57</v>
      </c>
      <c r="C14" s="8" t="s">
        <v>58</v>
      </c>
      <c r="D14" s="8"/>
      <c r="E14" s="7" t="s">
        <v>23</v>
      </c>
      <c r="F14" s="7"/>
      <c r="G14" s="7"/>
      <c r="H14" s="7"/>
      <c r="I14" s="7">
        <v>1</v>
      </c>
      <c r="J14" s="10">
        <v>90000</v>
      </c>
      <c r="K14" s="10">
        <f t="shared" si="0"/>
        <v>90000</v>
      </c>
      <c r="L14" s="8" t="s">
        <v>40</v>
      </c>
      <c r="M14" s="8"/>
      <c r="N14" s="8"/>
      <c r="O14" s="8"/>
      <c r="P14" s="8" t="s">
        <v>55</v>
      </c>
      <c r="Q14" s="8"/>
      <c r="R14" s="8"/>
      <c r="S14" s="8"/>
      <c r="T14" s="19">
        <v>0.05</v>
      </c>
      <c r="U14" s="8"/>
      <c r="V14" s="8"/>
    </row>
    <row r="15" spans="2:24" ht="56.25" x14ac:dyDescent="0.3">
      <c r="B15" s="7" t="s">
        <v>59</v>
      </c>
      <c r="C15" s="8" t="s">
        <v>60</v>
      </c>
      <c r="D15" s="8"/>
      <c r="E15" s="7" t="s">
        <v>23</v>
      </c>
      <c r="F15" s="7"/>
      <c r="G15" s="7"/>
      <c r="H15" s="7"/>
      <c r="I15" s="7">
        <v>1</v>
      </c>
      <c r="J15" s="10">
        <v>400000</v>
      </c>
      <c r="K15" s="10">
        <f t="shared" si="0"/>
        <v>400000</v>
      </c>
      <c r="L15" s="8" t="s">
        <v>40</v>
      </c>
      <c r="M15" s="8"/>
      <c r="N15" s="8"/>
      <c r="O15" s="8"/>
      <c r="P15" s="8" t="s">
        <v>55</v>
      </c>
      <c r="Q15" s="8"/>
      <c r="R15" s="8"/>
      <c r="S15" s="8"/>
      <c r="T15" s="19">
        <v>0.05</v>
      </c>
      <c r="U15" s="8"/>
      <c r="V15" s="8"/>
    </row>
    <row r="16" spans="2:24" ht="45" customHeight="1" x14ac:dyDescent="0.3">
      <c r="B16" s="18" t="s">
        <v>59</v>
      </c>
      <c r="C16" s="17" t="s">
        <v>61</v>
      </c>
      <c r="D16" s="17"/>
      <c r="E16" s="18" t="s">
        <v>23</v>
      </c>
      <c r="F16" s="18"/>
      <c r="G16" s="18"/>
      <c r="H16" s="18"/>
      <c r="I16" s="7">
        <v>1</v>
      </c>
      <c r="J16" s="20">
        <v>400000</v>
      </c>
      <c r="K16" s="10">
        <f t="shared" si="0"/>
        <v>400000</v>
      </c>
      <c r="L16" s="8" t="s">
        <v>40</v>
      </c>
      <c r="M16" s="17"/>
      <c r="N16" s="17"/>
      <c r="O16" s="17"/>
      <c r="P16" s="17" t="s">
        <v>36</v>
      </c>
      <c r="Q16" s="17"/>
      <c r="R16" s="17"/>
      <c r="S16" s="17"/>
      <c r="T16" s="21">
        <v>0.05</v>
      </c>
      <c r="U16" s="17"/>
      <c r="V16" s="17"/>
    </row>
    <row r="17" spans="2:22" ht="35.25" customHeight="1" x14ac:dyDescent="0.3">
      <c r="B17" s="7" t="s">
        <v>53</v>
      </c>
      <c r="C17" s="8" t="s">
        <v>62</v>
      </c>
      <c r="D17" s="8"/>
      <c r="E17" s="7" t="s">
        <v>23</v>
      </c>
      <c r="F17" s="7"/>
      <c r="G17" s="7"/>
      <c r="H17" s="7"/>
      <c r="I17" s="7">
        <v>1</v>
      </c>
      <c r="J17" s="10">
        <v>35000</v>
      </c>
      <c r="K17" s="10">
        <f t="shared" si="0"/>
        <v>35000</v>
      </c>
      <c r="L17" s="8" t="s">
        <v>40</v>
      </c>
      <c r="M17" s="8"/>
      <c r="N17" s="8"/>
      <c r="O17" s="8"/>
      <c r="P17" s="8" t="s">
        <v>63</v>
      </c>
      <c r="Q17" s="8"/>
      <c r="R17" s="8"/>
      <c r="S17" s="8"/>
      <c r="T17" s="19">
        <v>0.05</v>
      </c>
      <c r="U17" s="8"/>
      <c r="V17" s="8"/>
    </row>
    <row r="18" spans="2:22" ht="56.25" x14ac:dyDescent="0.3">
      <c r="B18" s="7" t="s">
        <v>64</v>
      </c>
      <c r="C18" s="8" t="s">
        <v>65</v>
      </c>
      <c r="D18" s="8"/>
      <c r="E18" s="7" t="s">
        <v>23</v>
      </c>
      <c r="F18" s="7"/>
      <c r="G18" s="7"/>
      <c r="H18" s="7"/>
      <c r="I18" s="7">
        <v>1</v>
      </c>
      <c r="J18" s="10">
        <v>65000</v>
      </c>
      <c r="K18" s="10">
        <f t="shared" si="0"/>
        <v>65000</v>
      </c>
      <c r="L18" s="8" t="s">
        <v>40</v>
      </c>
      <c r="M18" s="8"/>
      <c r="N18" s="8"/>
      <c r="O18" s="8"/>
      <c r="P18" s="8" t="s">
        <v>36</v>
      </c>
      <c r="Q18" s="8"/>
      <c r="R18" s="8"/>
      <c r="S18" s="8"/>
      <c r="T18" s="19">
        <v>0.05</v>
      </c>
      <c r="U18" s="8"/>
      <c r="V18" s="8"/>
    </row>
    <row r="19" spans="2:22" ht="37.5" x14ac:dyDescent="0.3">
      <c r="B19" s="7" t="s">
        <v>48</v>
      </c>
      <c r="C19" s="8" t="s">
        <v>66</v>
      </c>
      <c r="D19" s="8"/>
      <c r="E19" s="7" t="s">
        <v>50</v>
      </c>
      <c r="F19" s="7"/>
      <c r="G19" s="7"/>
      <c r="H19" s="7"/>
      <c r="I19" s="7">
        <v>1</v>
      </c>
      <c r="J19" s="9">
        <v>550000</v>
      </c>
      <c r="K19" s="10">
        <f t="shared" si="0"/>
        <v>550000</v>
      </c>
      <c r="L19" s="8" t="s">
        <v>40</v>
      </c>
      <c r="M19" s="8"/>
      <c r="N19" s="8"/>
      <c r="O19" s="8"/>
      <c r="P19" s="7" t="s">
        <v>31</v>
      </c>
      <c r="Q19" s="7"/>
      <c r="R19" s="8"/>
      <c r="S19" s="8"/>
      <c r="T19" s="19">
        <v>0.05</v>
      </c>
      <c r="U19" s="8"/>
      <c r="V19" s="8"/>
    </row>
    <row r="20" spans="2:22" ht="37.5" x14ac:dyDescent="0.3">
      <c r="B20" s="15" t="s">
        <v>48</v>
      </c>
      <c r="C20" s="14" t="s">
        <v>67</v>
      </c>
      <c r="D20" s="14"/>
      <c r="E20" s="15" t="s">
        <v>50</v>
      </c>
      <c r="F20" s="15"/>
      <c r="G20" s="15"/>
      <c r="H20" s="15"/>
      <c r="I20" s="15">
        <v>1</v>
      </c>
      <c r="J20" s="16">
        <v>550000</v>
      </c>
      <c r="K20" s="22">
        <f t="shared" si="0"/>
        <v>550000</v>
      </c>
      <c r="L20" s="8" t="s">
        <v>40</v>
      </c>
      <c r="M20" s="14"/>
      <c r="N20" s="14"/>
      <c r="O20" s="14"/>
      <c r="P20" s="14" t="s">
        <v>63</v>
      </c>
      <c r="Q20" s="14"/>
      <c r="R20" s="14"/>
      <c r="S20" s="14"/>
      <c r="T20" s="19">
        <v>0.05</v>
      </c>
      <c r="U20" s="14"/>
      <c r="V20" s="14"/>
    </row>
    <row r="21" spans="2:22" ht="56.25" x14ac:dyDescent="0.3">
      <c r="B21" s="18" t="s">
        <v>68</v>
      </c>
      <c r="C21" s="17" t="s">
        <v>69</v>
      </c>
      <c r="D21" s="17"/>
      <c r="E21" s="18" t="s">
        <v>23</v>
      </c>
      <c r="F21" s="18"/>
      <c r="G21" s="18"/>
      <c r="H21" s="18"/>
      <c r="I21" s="18">
        <v>5</v>
      </c>
      <c r="J21" s="23">
        <v>200000</v>
      </c>
      <c r="K21" s="20">
        <f t="shared" si="0"/>
        <v>1000000</v>
      </c>
      <c r="L21" s="8" t="s">
        <v>40</v>
      </c>
      <c r="M21" s="17"/>
      <c r="N21" s="17"/>
      <c r="O21" s="17"/>
      <c r="P21" s="17" t="s">
        <v>41</v>
      </c>
      <c r="Q21" s="17"/>
      <c r="R21" s="17"/>
      <c r="S21" s="17"/>
      <c r="T21" s="19">
        <v>0.05</v>
      </c>
      <c r="U21" s="17"/>
      <c r="V21" s="17"/>
    </row>
    <row r="22" spans="2:22" ht="56.25" x14ac:dyDescent="0.3">
      <c r="B22" s="18" t="s">
        <v>59</v>
      </c>
      <c r="C22" s="17" t="s">
        <v>70</v>
      </c>
      <c r="D22" s="17"/>
      <c r="E22" s="18" t="s">
        <v>23</v>
      </c>
      <c r="F22" s="18"/>
      <c r="G22" s="18"/>
      <c r="H22" s="18"/>
      <c r="I22" s="18">
        <v>1</v>
      </c>
      <c r="J22" s="23">
        <v>400000</v>
      </c>
      <c r="K22" s="20">
        <f t="shared" si="0"/>
        <v>400000</v>
      </c>
      <c r="L22" s="8" t="s">
        <v>40</v>
      </c>
      <c r="M22" s="17"/>
      <c r="N22" s="17"/>
      <c r="O22" s="17"/>
      <c r="P22" s="17" t="s">
        <v>31</v>
      </c>
      <c r="Q22" s="17"/>
      <c r="R22" s="17"/>
      <c r="S22" s="17"/>
      <c r="T22" s="19">
        <v>0.05</v>
      </c>
      <c r="U22" s="17"/>
      <c r="V22" s="17"/>
    </row>
    <row r="23" spans="2:22" ht="56.25" x14ac:dyDescent="0.3">
      <c r="B23" s="15" t="s">
        <v>59</v>
      </c>
      <c r="C23" s="14" t="s">
        <v>71</v>
      </c>
      <c r="D23" s="14"/>
      <c r="E23" s="15" t="s">
        <v>23</v>
      </c>
      <c r="F23" s="24"/>
      <c r="G23" s="24"/>
      <c r="H23" s="24"/>
      <c r="I23" s="24">
        <v>1</v>
      </c>
      <c r="J23" s="25">
        <v>400000</v>
      </c>
      <c r="K23" s="22">
        <f t="shared" si="0"/>
        <v>400000</v>
      </c>
      <c r="L23" s="8" t="s">
        <v>40</v>
      </c>
      <c r="M23" s="26"/>
      <c r="N23" s="26"/>
      <c r="O23" s="14"/>
      <c r="P23" s="14" t="s">
        <v>63</v>
      </c>
      <c r="Q23" s="26"/>
      <c r="R23" s="26"/>
      <c r="S23" s="14"/>
      <c r="T23" s="19">
        <v>0.05</v>
      </c>
      <c r="U23" s="14"/>
      <c r="V23" s="14"/>
    </row>
    <row r="24" spans="2:22" ht="56.25" x14ac:dyDescent="0.3">
      <c r="B24" s="18" t="s">
        <v>72</v>
      </c>
      <c r="C24" s="17" t="s">
        <v>73</v>
      </c>
      <c r="D24" s="17"/>
      <c r="E24" s="18" t="s">
        <v>23</v>
      </c>
      <c r="F24" s="18"/>
      <c r="G24" s="18"/>
      <c r="H24" s="18"/>
      <c r="I24" s="18">
        <v>1</v>
      </c>
      <c r="J24" s="23">
        <v>450000</v>
      </c>
      <c r="K24" s="20">
        <f t="shared" si="0"/>
        <v>450000</v>
      </c>
      <c r="L24" s="8" t="s">
        <v>40</v>
      </c>
      <c r="M24" s="17"/>
      <c r="N24" s="17"/>
      <c r="O24" s="17"/>
      <c r="P24" s="17" t="s">
        <v>41</v>
      </c>
      <c r="Q24" s="17"/>
      <c r="R24" s="17"/>
      <c r="S24" s="17"/>
      <c r="T24" s="19">
        <v>0.08</v>
      </c>
      <c r="U24" s="17"/>
      <c r="V24" s="17"/>
    </row>
    <row r="25" spans="2:22" ht="56.25" x14ac:dyDescent="0.3">
      <c r="B25" s="7" t="s">
        <v>72</v>
      </c>
      <c r="C25" s="8" t="s">
        <v>74</v>
      </c>
      <c r="D25" s="8"/>
      <c r="E25" s="7" t="s">
        <v>23</v>
      </c>
      <c r="F25" s="18"/>
      <c r="G25" s="18"/>
      <c r="H25" s="18"/>
      <c r="I25" s="18">
        <v>1</v>
      </c>
      <c r="J25" s="23">
        <v>400000</v>
      </c>
      <c r="K25" s="10">
        <f t="shared" si="0"/>
        <v>400000</v>
      </c>
      <c r="L25" s="8" t="s">
        <v>40</v>
      </c>
      <c r="M25" s="17"/>
      <c r="N25" s="17"/>
      <c r="O25" s="8"/>
      <c r="P25" s="8" t="s">
        <v>75</v>
      </c>
      <c r="Q25" s="17"/>
      <c r="R25" s="17"/>
      <c r="S25" s="8"/>
      <c r="T25" s="19">
        <v>0.05</v>
      </c>
      <c r="U25" s="8"/>
      <c r="V25" s="8"/>
    </row>
    <row r="26" spans="2:22" ht="56.25" x14ac:dyDescent="0.3">
      <c r="B26" s="7" t="s">
        <v>76</v>
      </c>
      <c r="C26" s="8" t="s">
        <v>77</v>
      </c>
      <c r="D26" s="14"/>
      <c r="E26" s="15" t="s">
        <v>23</v>
      </c>
      <c r="F26" s="24"/>
      <c r="G26" s="24"/>
      <c r="H26" s="24"/>
      <c r="I26" s="24">
        <v>1</v>
      </c>
      <c r="J26" s="25">
        <v>350000</v>
      </c>
      <c r="K26" s="10">
        <f t="shared" si="0"/>
        <v>350000</v>
      </c>
      <c r="L26" s="8" t="s">
        <v>40</v>
      </c>
      <c r="M26" s="17"/>
      <c r="N26" s="17"/>
      <c r="O26" s="8"/>
      <c r="P26" s="8" t="s">
        <v>78</v>
      </c>
      <c r="Q26" s="17"/>
      <c r="R26" s="17"/>
      <c r="S26" s="8"/>
      <c r="T26" s="19">
        <v>0.05</v>
      </c>
      <c r="U26" s="8"/>
      <c r="V26" s="8"/>
    </row>
    <row r="27" spans="2:22" ht="56.25" x14ac:dyDescent="0.3">
      <c r="B27" s="7" t="s">
        <v>79</v>
      </c>
      <c r="C27" s="8" t="s">
        <v>80</v>
      </c>
      <c r="D27" s="8"/>
      <c r="E27" s="7" t="s">
        <v>23</v>
      </c>
      <c r="F27" s="18"/>
      <c r="G27" s="18"/>
      <c r="H27" s="18"/>
      <c r="I27" s="18">
        <v>1</v>
      </c>
      <c r="J27" s="23">
        <v>550000</v>
      </c>
      <c r="K27" s="10">
        <f t="shared" si="0"/>
        <v>550000</v>
      </c>
      <c r="L27" s="8" t="s">
        <v>40</v>
      </c>
      <c r="M27" s="17"/>
      <c r="N27" s="17"/>
      <c r="O27" s="8"/>
      <c r="P27" s="8" t="s">
        <v>81</v>
      </c>
      <c r="Q27" s="17"/>
      <c r="R27" s="17"/>
      <c r="S27" s="8"/>
      <c r="T27" s="19">
        <v>0.05</v>
      </c>
      <c r="U27" s="8"/>
      <c r="V27" s="8"/>
    </row>
    <row r="28" spans="2:22" ht="56.25" x14ac:dyDescent="0.3">
      <c r="B28" s="7" t="s">
        <v>82</v>
      </c>
      <c r="C28" s="8" t="s">
        <v>83</v>
      </c>
      <c r="D28" s="8"/>
      <c r="E28" s="7" t="s">
        <v>23</v>
      </c>
      <c r="F28" s="18"/>
      <c r="G28" s="18"/>
      <c r="H28" s="18"/>
      <c r="I28" s="18">
        <v>14</v>
      </c>
      <c r="J28" s="23">
        <v>600000</v>
      </c>
      <c r="K28" s="10">
        <f t="shared" si="0"/>
        <v>8400000</v>
      </c>
      <c r="L28" s="8" t="s">
        <v>40</v>
      </c>
      <c r="M28" s="17"/>
      <c r="N28" s="17"/>
      <c r="O28" s="8"/>
      <c r="P28" s="8" t="s">
        <v>81</v>
      </c>
      <c r="Q28" s="17"/>
      <c r="R28" s="17"/>
      <c r="S28" s="8"/>
      <c r="T28" s="19">
        <v>0.05</v>
      </c>
      <c r="U28" s="8"/>
      <c r="V28" s="8"/>
    </row>
    <row r="29" spans="2:22" ht="56.25" x14ac:dyDescent="0.3">
      <c r="B29" s="15" t="s">
        <v>84</v>
      </c>
      <c r="C29" s="14" t="s">
        <v>85</v>
      </c>
      <c r="D29" s="14"/>
      <c r="E29" s="15" t="s">
        <v>23</v>
      </c>
      <c r="F29" s="24"/>
      <c r="G29" s="24"/>
      <c r="H29" s="24"/>
      <c r="I29" s="24">
        <v>1</v>
      </c>
      <c r="J29" s="25">
        <v>280000</v>
      </c>
      <c r="K29" s="22">
        <f t="shared" si="0"/>
        <v>280000</v>
      </c>
      <c r="L29" s="8" t="s">
        <v>40</v>
      </c>
      <c r="M29" s="26"/>
      <c r="N29" s="26"/>
      <c r="O29" s="14"/>
      <c r="P29" s="14" t="s">
        <v>81</v>
      </c>
      <c r="Q29" s="26"/>
      <c r="R29" s="26"/>
      <c r="S29" s="14"/>
      <c r="T29" s="19">
        <v>0.05</v>
      </c>
      <c r="U29" s="14"/>
      <c r="V29" s="14"/>
    </row>
    <row r="30" spans="2:22" ht="37.5" x14ac:dyDescent="0.3">
      <c r="B30" s="7" t="s">
        <v>86</v>
      </c>
      <c r="C30" s="8" t="s">
        <v>87</v>
      </c>
      <c r="D30" s="8"/>
      <c r="E30" s="7" t="s">
        <v>88</v>
      </c>
      <c r="F30" s="18"/>
      <c r="G30" s="18"/>
      <c r="H30" s="18"/>
      <c r="I30" s="18">
        <v>1</v>
      </c>
      <c r="J30" s="23">
        <v>250000</v>
      </c>
      <c r="K30" s="23">
        <f t="shared" si="0"/>
        <v>250000</v>
      </c>
      <c r="L30" s="8" t="s">
        <v>40</v>
      </c>
      <c r="M30" s="17"/>
      <c r="N30" s="17"/>
      <c r="O30" s="8"/>
      <c r="P30" s="8" t="s">
        <v>89</v>
      </c>
      <c r="Q30" s="17"/>
      <c r="R30" s="17"/>
      <c r="S30" s="8"/>
      <c r="T30" s="19">
        <v>0.05</v>
      </c>
      <c r="U30" s="8"/>
      <c r="V30" s="8"/>
    </row>
    <row r="31" spans="2:22" ht="56.25" x14ac:dyDescent="0.3">
      <c r="B31" s="7" t="s">
        <v>59</v>
      </c>
      <c r="C31" s="8" t="s">
        <v>90</v>
      </c>
      <c r="D31" s="8"/>
      <c r="E31" s="7" t="s">
        <v>23</v>
      </c>
      <c r="F31" s="18"/>
      <c r="G31" s="18"/>
      <c r="H31" s="18"/>
      <c r="I31" s="18">
        <v>2</v>
      </c>
      <c r="J31" s="23">
        <v>400000</v>
      </c>
      <c r="K31" s="23">
        <f t="shared" si="0"/>
        <v>800000</v>
      </c>
      <c r="L31" s="8" t="s">
        <v>40</v>
      </c>
      <c r="M31" s="17"/>
      <c r="N31" s="17"/>
      <c r="O31" s="8"/>
      <c r="P31" s="8" t="s">
        <v>91</v>
      </c>
      <c r="Q31" s="17"/>
      <c r="R31" s="17"/>
      <c r="S31" s="8"/>
      <c r="T31" s="19">
        <v>0.05</v>
      </c>
      <c r="U31" s="8"/>
      <c r="V31" s="8"/>
    </row>
    <row r="32" spans="2:22" ht="56.25" x14ac:dyDescent="0.3">
      <c r="B32" s="7" t="s">
        <v>59</v>
      </c>
      <c r="C32" s="8" t="s">
        <v>92</v>
      </c>
      <c r="D32" s="8"/>
      <c r="E32" s="7" t="s">
        <v>23</v>
      </c>
      <c r="F32" s="18"/>
      <c r="G32" s="18"/>
      <c r="H32" s="18"/>
      <c r="I32" s="18">
        <v>2</v>
      </c>
      <c r="J32" s="23">
        <v>400000</v>
      </c>
      <c r="K32" s="23">
        <f t="shared" si="0"/>
        <v>800000</v>
      </c>
      <c r="L32" s="8" t="s">
        <v>40</v>
      </c>
      <c r="M32" s="17"/>
      <c r="N32" s="17"/>
      <c r="O32" s="8"/>
      <c r="P32" s="8" t="s">
        <v>78</v>
      </c>
      <c r="Q32" s="17"/>
      <c r="R32" s="17"/>
      <c r="S32" s="8"/>
      <c r="T32" s="19">
        <v>0.05</v>
      </c>
      <c r="U32" s="8"/>
      <c r="V32" s="8"/>
    </row>
    <row r="33" spans="2:22" ht="56.25" x14ac:dyDescent="0.3">
      <c r="B33" s="7" t="s">
        <v>93</v>
      </c>
      <c r="C33" s="8" t="s">
        <v>94</v>
      </c>
      <c r="D33" s="14"/>
      <c r="E33" s="15" t="s">
        <v>23</v>
      </c>
      <c r="F33" s="24"/>
      <c r="G33" s="24"/>
      <c r="H33" s="24"/>
      <c r="I33" s="24">
        <v>1</v>
      </c>
      <c r="J33" s="25">
        <v>350000</v>
      </c>
      <c r="K33" s="25">
        <f t="shared" si="0"/>
        <v>350000</v>
      </c>
      <c r="L33" s="8" t="s">
        <v>40</v>
      </c>
      <c r="M33" s="17"/>
      <c r="N33" s="17"/>
      <c r="O33" s="8"/>
      <c r="P33" s="8" t="s">
        <v>91</v>
      </c>
      <c r="Q33" s="17"/>
      <c r="R33" s="17"/>
      <c r="S33" s="8"/>
      <c r="T33" s="19">
        <v>0.05</v>
      </c>
      <c r="U33" s="8"/>
      <c r="V33" s="8"/>
    </row>
    <row r="34" spans="2:22" ht="56.25" x14ac:dyDescent="0.3">
      <c r="B34" s="7" t="s">
        <v>93</v>
      </c>
      <c r="C34" s="8" t="s">
        <v>95</v>
      </c>
      <c r="D34" s="8"/>
      <c r="E34" s="7" t="s">
        <v>23</v>
      </c>
      <c r="F34" s="18"/>
      <c r="G34" s="18"/>
      <c r="H34" s="18"/>
      <c r="I34" s="18">
        <v>1</v>
      </c>
      <c r="J34" s="23">
        <v>350000</v>
      </c>
      <c r="K34" s="23">
        <f t="shared" si="0"/>
        <v>350000</v>
      </c>
      <c r="L34" s="8" t="s">
        <v>40</v>
      </c>
      <c r="M34" s="17"/>
      <c r="N34" s="17"/>
      <c r="O34" s="8"/>
      <c r="P34" s="8" t="s">
        <v>91</v>
      </c>
      <c r="Q34" s="17"/>
      <c r="R34" s="17"/>
      <c r="S34" s="8"/>
      <c r="T34" s="19">
        <v>0.05</v>
      </c>
      <c r="U34" s="8"/>
      <c r="V34" s="8"/>
    </row>
    <row r="35" spans="2:22" ht="37.5" x14ac:dyDescent="0.3">
      <c r="B35" s="18" t="s">
        <v>96</v>
      </c>
      <c r="C35" s="17" t="s">
        <v>97</v>
      </c>
      <c r="D35" s="17"/>
      <c r="E35" s="18" t="s">
        <v>50</v>
      </c>
      <c r="F35" s="18"/>
      <c r="G35" s="18"/>
      <c r="H35" s="18"/>
      <c r="I35" s="18">
        <v>1</v>
      </c>
      <c r="J35" s="23">
        <v>380000</v>
      </c>
      <c r="K35" s="23">
        <f t="shared" si="0"/>
        <v>380000</v>
      </c>
      <c r="L35" s="8" t="s">
        <v>40</v>
      </c>
      <c r="M35" s="17"/>
      <c r="N35" s="17"/>
      <c r="O35" s="17"/>
      <c r="P35" s="17" t="s">
        <v>98</v>
      </c>
      <c r="Q35" s="17"/>
      <c r="R35" s="17"/>
      <c r="S35" s="17"/>
      <c r="T35" s="19">
        <v>0.05</v>
      </c>
      <c r="U35" s="17"/>
      <c r="V35" s="17"/>
    </row>
    <row r="36" spans="2:22" ht="37.5" x14ac:dyDescent="0.3">
      <c r="B36" s="7" t="s">
        <v>99</v>
      </c>
      <c r="C36" s="8" t="s">
        <v>100</v>
      </c>
      <c r="D36" s="8"/>
      <c r="E36" s="7" t="s">
        <v>50</v>
      </c>
      <c r="F36" s="18"/>
      <c r="G36" s="18"/>
      <c r="H36" s="18"/>
      <c r="I36" s="18">
        <v>1</v>
      </c>
      <c r="J36" s="23">
        <v>120000</v>
      </c>
      <c r="K36" s="23">
        <f t="shared" si="0"/>
        <v>120000</v>
      </c>
      <c r="L36" s="8" t="s">
        <v>40</v>
      </c>
      <c r="M36" s="17"/>
      <c r="N36" s="17"/>
      <c r="O36" s="8"/>
      <c r="P36" s="8" t="s">
        <v>63</v>
      </c>
      <c r="Q36" s="17"/>
      <c r="R36" s="17"/>
      <c r="S36" s="8"/>
      <c r="T36" s="19">
        <v>0.05</v>
      </c>
      <c r="U36" s="8"/>
      <c r="V36" s="8"/>
    </row>
    <row r="37" spans="2:22" ht="37.5" x14ac:dyDescent="0.3">
      <c r="B37" s="7" t="s">
        <v>99</v>
      </c>
      <c r="C37" s="8" t="s">
        <v>101</v>
      </c>
      <c r="D37" s="8"/>
      <c r="E37" s="7" t="s">
        <v>50</v>
      </c>
      <c r="F37" s="18"/>
      <c r="G37" s="18"/>
      <c r="H37" s="18"/>
      <c r="I37" s="18">
        <v>1</v>
      </c>
      <c r="J37" s="23">
        <v>120000</v>
      </c>
      <c r="K37" s="23">
        <f t="shared" si="0"/>
        <v>120000</v>
      </c>
      <c r="L37" s="8" t="s">
        <v>40</v>
      </c>
      <c r="M37" s="17"/>
      <c r="N37" s="17"/>
      <c r="O37" s="8"/>
      <c r="P37" s="8" t="s">
        <v>89</v>
      </c>
      <c r="Q37" s="17"/>
      <c r="R37" s="17"/>
      <c r="S37" s="8"/>
      <c r="T37" s="19">
        <v>0.05</v>
      </c>
      <c r="U37" s="8"/>
      <c r="V37" s="8"/>
    </row>
    <row r="38" spans="2:22" ht="37.5" x14ac:dyDescent="0.3">
      <c r="B38" s="7" t="s">
        <v>102</v>
      </c>
      <c r="C38" s="8" t="s">
        <v>103</v>
      </c>
      <c r="D38" s="8"/>
      <c r="E38" s="7" t="s">
        <v>50</v>
      </c>
      <c r="F38" s="18"/>
      <c r="G38" s="18"/>
      <c r="H38" s="18"/>
      <c r="I38" s="18">
        <v>1</v>
      </c>
      <c r="J38" s="23">
        <v>420000</v>
      </c>
      <c r="K38" s="23">
        <f t="shared" si="0"/>
        <v>420000</v>
      </c>
      <c r="L38" s="8" t="s">
        <v>40</v>
      </c>
      <c r="M38" s="17"/>
      <c r="N38" s="17"/>
      <c r="O38" s="8"/>
      <c r="P38" s="8" t="s">
        <v>104</v>
      </c>
      <c r="Q38" s="17"/>
      <c r="R38" s="17"/>
      <c r="S38" s="8"/>
      <c r="T38" s="19">
        <v>0.05</v>
      </c>
      <c r="U38" s="8"/>
      <c r="V38" s="8"/>
    </row>
    <row r="39" spans="2:22" ht="37.5" x14ac:dyDescent="0.3">
      <c r="B39" s="7" t="s">
        <v>105</v>
      </c>
      <c r="C39" s="8" t="s">
        <v>106</v>
      </c>
      <c r="D39" s="8"/>
      <c r="E39" s="7" t="s">
        <v>50</v>
      </c>
      <c r="F39" s="18"/>
      <c r="G39" s="18"/>
      <c r="H39" s="18"/>
      <c r="I39" s="18">
        <v>1</v>
      </c>
      <c r="J39" s="23">
        <v>490000</v>
      </c>
      <c r="K39" s="23">
        <f t="shared" si="0"/>
        <v>490000</v>
      </c>
      <c r="L39" s="8" t="s">
        <v>40</v>
      </c>
      <c r="M39" s="17"/>
      <c r="N39" s="17"/>
      <c r="O39" s="8"/>
      <c r="P39" s="8" t="s">
        <v>104</v>
      </c>
      <c r="Q39" s="17"/>
      <c r="R39" s="17"/>
      <c r="S39" s="8"/>
      <c r="T39" s="19">
        <v>0.05</v>
      </c>
      <c r="U39" s="8"/>
      <c r="V39" s="8"/>
    </row>
    <row r="40" spans="2:22" ht="37.5" x14ac:dyDescent="0.3">
      <c r="B40" s="7" t="s">
        <v>107</v>
      </c>
      <c r="C40" s="8" t="s">
        <v>108</v>
      </c>
      <c r="D40" s="8"/>
      <c r="E40" s="7" t="s">
        <v>50</v>
      </c>
      <c r="F40" s="18"/>
      <c r="G40" s="18"/>
      <c r="H40" s="18"/>
      <c r="I40" s="18">
        <v>1</v>
      </c>
      <c r="J40" s="23">
        <v>380000</v>
      </c>
      <c r="K40" s="23">
        <f t="shared" si="0"/>
        <v>380000</v>
      </c>
      <c r="L40" s="8" t="s">
        <v>40</v>
      </c>
      <c r="M40" s="17"/>
      <c r="N40" s="17"/>
      <c r="O40" s="8"/>
      <c r="P40" s="8" t="s">
        <v>104</v>
      </c>
      <c r="Q40" s="17"/>
      <c r="R40" s="17"/>
      <c r="S40" s="8"/>
      <c r="T40" s="19">
        <v>0.05</v>
      </c>
      <c r="U40" s="8"/>
      <c r="V40" s="8"/>
    </row>
    <row r="41" spans="2:22" ht="56.25" x14ac:dyDescent="0.3">
      <c r="B41" s="7" t="s">
        <v>59</v>
      </c>
      <c r="C41" s="14" t="s">
        <v>109</v>
      </c>
      <c r="D41" s="14"/>
      <c r="E41" s="15" t="s">
        <v>23</v>
      </c>
      <c r="F41" s="24"/>
      <c r="G41" s="24"/>
      <c r="H41" s="24"/>
      <c r="I41" s="24">
        <v>1</v>
      </c>
      <c r="J41" s="25">
        <v>400000</v>
      </c>
      <c r="K41" s="25">
        <f t="shared" si="0"/>
        <v>400000</v>
      </c>
      <c r="L41" s="8" t="s">
        <v>40</v>
      </c>
      <c r="M41" s="26"/>
      <c r="N41" s="26"/>
      <c r="O41" s="14"/>
      <c r="P41" s="8" t="s">
        <v>104</v>
      </c>
      <c r="Q41" s="26"/>
      <c r="R41" s="26"/>
      <c r="S41" s="14"/>
      <c r="T41" s="19">
        <v>0.05</v>
      </c>
      <c r="U41" s="14"/>
      <c r="V41" s="14"/>
    </row>
    <row r="42" spans="2:22" ht="37.5" x14ac:dyDescent="0.3">
      <c r="B42" s="7" t="s">
        <v>110</v>
      </c>
      <c r="C42" s="17" t="s">
        <v>111</v>
      </c>
      <c r="D42" s="17"/>
      <c r="E42" s="18" t="s">
        <v>50</v>
      </c>
      <c r="F42" s="18"/>
      <c r="G42" s="18"/>
      <c r="H42" s="18"/>
      <c r="I42" s="18">
        <v>1</v>
      </c>
      <c r="J42" s="23">
        <v>420000</v>
      </c>
      <c r="K42" s="23">
        <f t="shared" si="0"/>
        <v>420000</v>
      </c>
      <c r="L42" s="8" t="s">
        <v>40</v>
      </c>
      <c r="M42" s="17"/>
      <c r="N42" s="17"/>
      <c r="O42" s="17"/>
      <c r="P42" s="8" t="s">
        <v>112</v>
      </c>
      <c r="Q42" s="17"/>
      <c r="R42" s="17"/>
      <c r="S42" s="17"/>
      <c r="T42" s="19">
        <v>0.05</v>
      </c>
      <c r="U42" s="17"/>
      <c r="V42" s="17"/>
    </row>
    <row r="43" spans="2:22" ht="37.5" x14ac:dyDescent="0.3">
      <c r="B43" s="7" t="s">
        <v>99</v>
      </c>
      <c r="C43" s="8" t="s">
        <v>113</v>
      </c>
      <c r="D43" s="8"/>
      <c r="E43" s="7" t="s">
        <v>50</v>
      </c>
      <c r="F43" s="18"/>
      <c r="G43" s="18"/>
      <c r="H43" s="18"/>
      <c r="I43" s="18">
        <v>1</v>
      </c>
      <c r="J43" s="23">
        <v>120000</v>
      </c>
      <c r="K43" s="23">
        <f t="shared" si="0"/>
        <v>120000</v>
      </c>
      <c r="L43" s="8" t="s">
        <v>40</v>
      </c>
      <c r="M43" s="17"/>
      <c r="N43" s="17"/>
      <c r="O43" s="8"/>
      <c r="P43" s="8" t="s">
        <v>112</v>
      </c>
      <c r="Q43" s="17"/>
      <c r="R43" s="17"/>
      <c r="S43" s="8"/>
      <c r="T43" s="19">
        <v>0.05</v>
      </c>
      <c r="U43" s="8"/>
      <c r="V43" s="8"/>
    </row>
    <row r="44" spans="2:22" ht="37.5" x14ac:dyDescent="0.3">
      <c r="B44" s="7" t="s">
        <v>114</v>
      </c>
      <c r="C44" s="8" t="s">
        <v>115</v>
      </c>
      <c r="D44" s="8"/>
      <c r="E44" s="7" t="s">
        <v>50</v>
      </c>
      <c r="F44" s="18"/>
      <c r="G44" s="18"/>
      <c r="H44" s="18"/>
      <c r="I44" s="18">
        <v>1</v>
      </c>
      <c r="J44" s="23">
        <v>490000</v>
      </c>
      <c r="K44" s="23">
        <f t="shared" si="0"/>
        <v>490000</v>
      </c>
      <c r="L44" s="8" t="s">
        <v>40</v>
      </c>
      <c r="M44" s="17"/>
      <c r="N44" s="17"/>
      <c r="O44" s="8"/>
      <c r="P44" s="8" t="s">
        <v>112</v>
      </c>
      <c r="Q44" s="17"/>
      <c r="R44" s="17"/>
      <c r="S44" s="8"/>
      <c r="T44" s="19">
        <v>0.05</v>
      </c>
      <c r="U44" s="8"/>
      <c r="V44" s="8"/>
    </row>
    <row r="45" spans="2:22" ht="56.25" x14ac:dyDescent="0.3">
      <c r="B45" s="7" t="s">
        <v>116</v>
      </c>
      <c r="C45" s="8" t="s">
        <v>117</v>
      </c>
      <c r="D45" s="8"/>
      <c r="E45" s="7" t="s">
        <v>50</v>
      </c>
      <c r="F45" s="18"/>
      <c r="G45" s="18"/>
      <c r="H45" s="18"/>
      <c r="I45" s="18">
        <v>1</v>
      </c>
      <c r="J45" s="23">
        <v>550000</v>
      </c>
      <c r="K45" s="23">
        <f t="shared" si="0"/>
        <v>550000</v>
      </c>
      <c r="L45" s="8" t="s">
        <v>40</v>
      </c>
      <c r="M45" s="17"/>
      <c r="N45" s="17"/>
      <c r="O45" s="8"/>
      <c r="P45" s="8" t="s">
        <v>112</v>
      </c>
      <c r="Q45" s="17"/>
      <c r="R45" s="17"/>
      <c r="S45" s="8"/>
      <c r="T45" s="19">
        <v>0.05</v>
      </c>
      <c r="U45" s="8"/>
      <c r="V45" s="8"/>
    </row>
    <row r="46" spans="2:22" ht="37.5" x14ac:dyDescent="0.3">
      <c r="B46" s="7" t="s">
        <v>118</v>
      </c>
      <c r="C46" s="8" t="s">
        <v>119</v>
      </c>
      <c r="D46" s="8"/>
      <c r="E46" s="7" t="s">
        <v>50</v>
      </c>
      <c r="F46" s="18"/>
      <c r="G46" s="18"/>
      <c r="H46" s="18"/>
      <c r="I46" s="18">
        <v>1</v>
      </c>
      <c r="J46" s="23">
        <v>250000</v>
      </c>
      <c r="K46" s="23">
        <f t="shared" si="0"/>
        <v>250000</v>
      </c>
      <c r="L46" s="8" t="s">
        <v>40</v>
      </c>
      <c r="M46" s="17"/>
      <c r="N46" s="17"/>
      <c r="O46" s="8"/>
      <c r="P46" s="8" t="s">
        <v>112</v>
      </c>
      <c r="Q46" s="17"/>
      <c r="R46" s="17"/>
      <c r="S46" s="8"/>
      <c r="T46" s="19">
        <v>0.05</v>
      </c>
      <c r="U46" s="8"/>
      <c r="V46" s="8"/>
    </row>
    <row r="47" spans="2:22" ht="37.5" x14ac:dyDescent="0.3">
      <c r="B47" s="7" t="s">
        <v>120</v>
      </c>
      <c r="C47" s="8" t="s">
        <v>121</v>
      </c>
      <c r="D47" s="8"/>
      <c r="E47" s="7" t="s">
        <v>50</v>
      </c>
      <c r="F47" s="18"/>
      <c r="G47" s="18"/>
      <c r="H47" s="18"/>
      <c r="I47" s="18">
        <v>1</v>
      </c>
      <c r="J47" s="23">
        <v>400000</v>
      </c>
      <c r="K47" s="23">
        <f t="shared" si="0"/>
        <v>400000</v>
      </c>
      <c r="L47" s="8" t="s">
        <v>40</v>
      </c>
      <c r="M47" s="17"/>
      <c r="N47" s="17"/>
      <c r="O47" s="8"/>
      <c r="P47" s="8" t="s">
        <v>112</v>
      </c>
      <c r="Q47" s="17"/>
      <c r="R47" s="17"/>
      <c r="S47" s="8"/>
      <c r="T47" s="19">
        <v>0.05</v>
      </c>
      <c r="U47" s="8"/>
      <c r="V47" s="8"/>
    </row>
    <row r="48" spans="2:22" ht="37.5" x14ac:dyDescent="0.3">
      <c r="B48" s="7" t="s">
        <v>122</v>
      </c>
      <c r="C48" s="8" t="s">
        <v>123</v>
      </c>
      <c r="D48" s="8"/>
      <c r="E48" s="7" t="s">
        <v>50</v>
      </c>
      <c r="F48" s="18"/>
      <c r="G48" s="18"/>
      <c r="H48" s="18"/>
      <c r="I48" s="18">
        <v>1</v>
      </c>
      <c r="J48" s="23">
        <v>55000</v>
      </c>
      <c r="K48" s="23">
        <f t="shared" si="0"/>
        <v>55000</v>
      </c>
      <c r="L48" s="8" t="s">
        <v>40</v>
      </c>
      <c r="M48" s="17"/>
      <c r="N48" s="17"/>
      <c r="O48" s="8"/>
      <c r="P48" s="8" t="s">
        <v>112</v>
      </c>
      <c r="Q48" s="17"/>
      <c r="R48" s="17"/>
      <c r="S48" s="8"/>
      <c r="T48" s="19">
        <v>0.05</v>
      </c>
      <c r="U48" s="8"/>
      <c r="V48" s="8"/>
    </row>
    <row r="49" spans="2:22" s="30" customFormat="1" ht="36.75" customHeight="1" x14ac:dyDescent="0.3">
      <c r="B49" s="27" t="s">
        <v>124</v>
      </c>
      <c r="C49" s="28" t="s">
        <v>125</v>
      </c>
      <c r="D49" s="28"/>
      <c r="E49" s="27" t="s">
        <v>88</v>
      </c>
      <c r="F49" s="27"/>
      <c r="G49" s="27"/>
      <c r="H49" s="27"/>
      <c r="I49" s="27">
        <v>1</v>
      </c>
      <c r="J49" s="29">
        <v>650000</v>
      </c>
      <c r="K49" s="29">
        <f t="shared" si="0"/>
        <v>650000</v>
      </c>
      <c r="L49" s="8" t="s">
        <v>40</v>
      </c>
      <c r="M49" s="28"/>
      <c r="N49" s="28"/>
      <c r="O49" s="28"/>
      <c r="P49" s="28" t="s">
        <v>126</v>
      </c>
      <c r="Q49" s="28"/>
      <c r="R49" s="28"/>
      <c r="S49" s="28"/>
      <c r="T49" s="19">
        <v>0.05</v>
      </c>
      <c r="U49" s="28"/>
      <c r="V49" s="28"/>
    </row>
    <row r="50" spans="2:22" s="30" customFormat="1" ht="36.75" customHeight="1" x14ac:dyDescent="0.3">
      <c r="B50" s="12" t="s">
        <v>127</v>
      </c>
      <c r="C50" s="31" t="s">
        <v>128</v>
      </c>
      <c r="D50" s="31"/>
      <c r="E50" s="12" t="s">
        <v>88</v>
      </c>
      <c r="F50" s="12"/>
      <c r="G50" s="12"/>
      <c r="H50" s="12"/>
      <c r="I50" s="12">
        <v>1</v>
      </c>
      <c r="J50" s="32">
        <v>300000</v>
      </c>
      <c r="K50" s="32">
        <f t="shared" si="0"/>
        <v>300000</v>
      </c>
      <c r="L50" s="8" t="s">
        <v>40</v>
      </c>
      <c r="M50" s="31"/>
      <c r="N50" s="31"/>
      <c r="O50" s="31"/>
      <c r="P50" s="31" t="s">
        <v>126</v>
      </c>
      <c r="Q50" s="31"/>
      <c r="R50" s="31"/>
      <c r="S50" s="31"/>
      <c r="T50" s="19">
        <v>0.05</v>
      </c>
      <c r="U50" s="31"/>
      <c r="V50" s="31"/>
    </row>
    <row r="51" spans="2:22" s="30" customFormat="1" ht="36.75" customHeight="1" x14ac:dyDescent="0.3">
      <c r="B51" s="12" t="s">
        <v>129</v>
      </c>
      <c r="C51" s="31" t="s">
        <v>130</v>
      </c>
      <c r="D51" s="31"/>
      <c r="E51" s="12" t="s">
        <v>23</v>
      </c>
      <c r="F51" s="12"/>
      <c r="G51" s="12"/>
      <c r="H51" s="12"/>
      <c r="I51" s="12">
        <v>1</v>
      </c>
      <c r="J51" s="32">
        <v>380000</v>
      </c>
      <c r="K51" s="32">
        <f t="shared" si="0"/>
        <v>380000</v>
      </c>
      <c r="L51" s="8" t="s">
        <v>40</v>
      </c>
      <c r="M51" s="31"/>
      <c r="N51" s="31"/>
      <c r="O51" s="31"/>
      <c r="P51" s="31" t="s">
        <v>126</v>
      </c>
      <c r="Q51" s="31"/>
      <c r="R51" s="31"/>
      <c r="S51" s="31"/>
      <c r="T51" s="19">
        <v>0.05</v>
      </c>
      <c r="U51" s="31"/>
      <c r="V51" s="31"/>
    </row>
    <row r="52" spans="2:22" s="30" customFormat="1" ht="36.75" customHeight="1" x14ac:dyDescent="0.3">
      <c r="B52" s="13" t="s">
        <v>131</v>
      </c>
      <c r="C52" s="33" t="s">
        <v>132</v>
      </c>
      <c r="D52" s="33"/>
      <c r="E52" s="13" t="s">
        <v>88</v>
      </c>
      <c r="F52" s="13"/>
      <c r="G52" s="13"/>
      <c r="H52" s="13"/>
      <c r="I52" s="27">
        <v>1</v>
      </c>
      <c r="J52" s="29">
        <v>650000</v>
      </c>
      <c r="K52" s="29">
        <f t="shared" si="0"/>
        <v>650000</v>
      </c>
      <c r="L52" s="8" t="s">
        <v>40</v>
      </c>
      <c r="M52" s="33"/>
      <c r="N52" s="33"/>
      <c r="O52" s="33"/>
      <c r="P52" s="31" t="s">
        <v>126</v>
      </c>
      <c r="Q52" s="33"/>
      <c r="R52" s="33"/>
      <c r="S52" s="33"/>
      <c r="T52" s="19">
        <v>0.05</v>
      </c>
      <c r="U52" s="33"/>
      <c r="V52" s="33"/>
    </row>
    <row r="53" spans="2:22" s="30" customFormat="1" ht="36.75" customHeight="1" x14ac:dyDescent="0.3">
      <c r="B53" s="12" t="s">
        <v>133</v>
      </c>
      <c r="C53" s="31" t="s">
        <v>134</v>
      </c>
      <c r="D53" s="31"/>
      <c r="E53" s="12" t="s">
        <v>23</v>
      </c>
      <c r="F53" s="12"/>
      <c r="G53" s="12"/>
      <c r="H53" s="12"/>
      <c r="I53" s="27">
        <v>1</v>
      </c>
      <c r="J53" s="29">
        <v>650000</v>
      </c>
      <c r="K53" s="29">
        <f t="shared" si="0"/>
        <v>650000</v>
      </c>
      <c r="L53" s="8" t="s">
        <v>40</v>
      </c>
      <c r="M53" s="31"/>
      <c r="N53" s="31"/>
      <c r="O53" s="31"/>
      <c r="P53" s="31" t="s">
        <v>135</v>
      </c>
      <c r="Q53" s="31"/>
      <c r="R53" s="31"/>
      <c r="S53" s="31"/>
      <c r="T53" s="19">
        <v>0.05</v>
      </c>
      <c r="U53" s="31"/>
      <c r="V53" s="31"/>
    </row>
    <row r="54" spans="2:22" s="30" customFormat="1" ht="36.75" customHeight="1" x14ac:dyDescent="0.3">
      <c r="B54" s="12" t="s">
        <v>136</v>
      </c>
      <c r="C54" s="31" t="s">
        <v>137</v>
      </c>
      <c r="D54" s="31"/>
      <c r="E54" s="12" t="s">
        <v>50</v>
      </c>
      <c r="F54" s="12"/>
      <c r="G54" s="12"/>
      <c r="H54" s="12"/>
      <c r="I54" s="12">
        <v>1</v>
      </c>
      <c r="J54" s="29">
        <v>550000</v>
      </c>
      <c r="K54" s="29">
        <f t="shared" si="0"/>
        <v>550000</v>
      </c>
      <c r="L54" s="8" t="s">
        <v>40</v>
      </c>
      <c r="M54" s="31"/>
      <c r="N54" s="31"/>
      <c r="O54" s="31"/>
      <c r="P54" s="31" t="s">
        <v>135</v>
      </c>
      <c r="Q54" s="31"/>
      <c r="R54" s="31"/>
      <c r="S54" s="31"/>
      <c r="T54" s="19">
        <v>0.05</v>
      </c>
      <c r="U54" s="31"/>
      <c r="V54" s="31"/>
    </row>
    <row r="55" spans="2:22" s="30" customFormat="1" ht="36.75" customHeight="1" x14ac:dyDescent="0.3">
      <c r="B55" s="12" t="s">
        <v>138</v>
      </c>
      <c r="C55" s="31" t="s">
        <v>139</v>
      </c>
      <c r="D55" s="31"/>
      <c r="E55" s="12" t="s">
        <v>23</v>
      </c>
      <c r="F55" s="12"/>
      <c r="G55" s="12"/>
      <c r="H55" s="12"/>
      <c r="I55" s="12">
        <v>1</v>
      </c>
      <c r="J55" s="29">
        <v>650000</v>
      </c>
      <c r="K55" s="29">
        <f t="shared" si="0"/>
        <v>650000</v>
      </c>
      <c r="L55" s="8" t="s">
        <v>40</v>
      </c>
      <c r="M55" s="31"/>
      <c r="N55" s="31"/>
      <c r="O55" s="31"/>
      <c r="P55" s="31" t="s">
        <v>135</v>
      </c>
      <c r="Q55" s="31"/>
      <c r="R55" s="31"/>
      <c r="S55" s="31"/>
      <c r="T55" s="19">
        <v>0.05</v>
      </c>
      <c r="U55" s="31"/>
      <c r="V55" s="31"/>
    </row>
    <row r="56" spans="2:22" s="30" customFormat="1" ht="36.75" customHeight="1" x14ac:dyDescent="0.3">
      <c r="B56" s="13" t="s">
        <v>138</v>
      </c>
      <c r="C56" s="33" t="s">
        <v>140</v>
      </c>
      <c r="D56" s="33"/>
      <c r="E56" s="12" t="s">
        <v>23</v>
      </c>
      <c r="F56" s="13"/>
      <c r="G56" s="13"/>
      <c r="H56" s="13"/>
      <c r="I56" s="12">
        <v>1</v>
      </c>
      <c r="J56" s="29">
        <v>60000</v>
      </c>
      <c r="K56" s="29">
        <f t="shared" si="0"/>
        <v>60000</v>
      </c>
      <c r="L56" s="8" t="s">
        <v>40</v>
      </c>
      <c r="M56" s="33"/>
      <c r="N56" s="33"/>
      <c r="O56" s="33"/>
      <c r="P56" s="31" t="s">
        <v>135</v>
      </c>
      <c r="Q56" s="33"/>
      <c r="R56" s="33"/>
      <c r="S56" s="33"/>
      <c r="T56" s="19">
        <v>0.05</v>
      </c>
      <c r="U56" s="33"/>
      <c r="V56" s="33"/>
    </row>
    <row r="57" spans="2:22" s="30" customFormat="1" ht="39" customHeight="1" x14ac:dyDescent="0.3">
      <c r="B57" s="27" t="s">
        <v>141</v>
      </c>
      <c r="C57" s="28" t="s">
        <v>142</v>
      </c>
      <c r="D57" s="28"/>
      <c r="E57" s="12" t="s">
        <v>23</v>
      </c>
      <c r="F57" s="27"/>
      <c r="G57" s="27"/>
      <c r="H57" s="27"/>
      <c r="I57" s="12">
        <v>1</v>
      </c>
      <c r="J57" s="29">
        <v>400000</v>
      </c>
      <c r="K57" s="29">
        <f t="shared" si="0"/>
        <v>400000</v>
      </c>
      <c r="L57" s="8" t="s">
        <v>40</v>
      </c>
      <c r="M57" s="28"/>
      <c r="N57" s="28"/>
      <c r="O57" s="28"/>
      <c r="P57" s="27" t="s">
        <v>143</v>
      </c>
      <c r="Q57" s="27"/>
      <c r="R57" s="28"/>
      <c r="S57" s="28"/>
      <c r="T57" s="19">
        <v>0.05</v>
      </c>
      <c r="U57" s="28"/>
      <c r="V57" s="28"/>
    </row>
    <row r="58" spans="2:22" s="30" customFormat="1" ht="39" customHeight="1" x14ac:dyDescent="0.3">
      <c r="B58" s="12" t="s">
        <v>144</v>
      </c>
      <c r="C58" s="31" t="s">
        <v>142</v>
      </c>
      <c r="D58" s="31"/>
      <c r="E58" s="12" t="s">
        <v>23</v>
      </c>
      <c r="F58" s="12"/>
      <c r="G58" s="12"/>
      <c r="H58" s="12"/>
      <c r="I58" s="12">
        <v>1</v>
      </c>
      <c r="J58" s="29">
        <v>650000</v>
      </c>
      <c r="K58" s="29">
        <f t="shared" si="0"/>
        <v>650000</v>
      </c>
      <c r="L58" s="8" t="s">
        <v>40</v>
      </c>
      <c r="M58" s="31"/>
      <c r="N58" s="31"/>
      <c r="O58" s="31"/>
      <c r="P58" s="27" t="s">
        <v>143</v>
      </c>
      <c r="Q58" s="27"/>
      <c r="R58" s="31"/>
      <c r="S58" s="31"/>
      <c r="T58" s="19">
        <v>0.05</v>
      </c>
      <c r="U58" s="31"/>
      <c r="V58" s="31"/>
    </row>
    <row r="59" spans="2:22" s="30" customFormat="1" ht="39" customHeight="1" x14ac:dyDescent="0.3">
      <c r="B59" s="12" t="s">
        <v>145</v>
      </c>
      <c r="C59" s="31" t="s">
        <v>146</v>
      </c>
      <c r="D59" s="31"/>
      <c r="E59" s="12" t="s">
        <v>88</v>
      </c>
      <c r="F59" s="12"/>
      <c r="G59" s="12"/>
      <c r="H59" s="12"/>
      <c r="I59" s="12">
        <v>1</v>
      </c>
      <c r="J59" s="29">
        <v>230000</v>
      </c>
      <c r="K59" s="29">
        <f t="shared" si="0"/>
        <v>230000</v>
      </c>
      <c r="L59" s="8" t="s">
        <v>40</v>
      </c>
      <c r="M59" s="31"/>
      <c r="N59" s="31"/>
      <c r="O59" s="31"/>
      <c r="P59" s="27" t="s">
        <v>143</v>
      </c>
      <c r="Q59" s="27"/>
      <c r="R59" s="31"/>
      <c r="S59" s="31"/>
      <c r="T59" s="19">
        <v>0.05</v>
      </c>
      <c r="U59" s="31"/>
      <c r="V59" s="31"/>
    </row>
    <row r="60" spans="2:22" s="30" customFormat="1" ht="39" customHeight="1" x14ac:dyDescent="0.3">
      <c r="B60" s="12" t="s">
        <v>147</v>
      </c>
      <c r="C60" s="31" t="s">
        <v>148</v>
      </c>
      <c r="D60" s="31"/>
      <c r="E60" s="12" t="s">
        <v>88</v>
      </c>
      <c r="F60" s="12"/>
      <c r="G60" s="12"/>
      <c r="H60" s="12"/>
      <c r="I60" s="12">
        <v>1</v>
      </c>
      <c r="J60" s="29">
        <v>650000</v>
      </c>
      <c r="K60" s="29">
        <f t="shared" si="0"/>
        <v>650000</v>
      </c>
      <c r="L60" s="8" t="s">
        <v>40</v>
      </c>
      <c r="M60" s="31"/>
      <c r="N60" s="31"/>
      <c r="O60" s="31"/>
      <c r="P60" s="27" t="s">
        <v>143</v>
      </c>
      <c r="Q60" s="27"/>
      <c r="R60" s="31"/>
      <c r="S60" s="31"/>
      <c r="T60" s="19">
        <v>0.05</v>
      </c>
      <c r="U60" s="31"/>
      <c r="V60" s="31"/>
    </row>
    <row r="61" spans="2:22" s="30" customFormat="1" ht="39" customHeight="1" x14ac:dyDescent="0.3">
      <c r="B61" s="12" t="s">
        <v>149</v>
      </c>
      <c r="C61" s="31" t="s">
        <v>150</v>
      </c>
      <c r="D61" s="31"/>
      <c r="E61" s="12" t="s">
        <v>88</v>
      </c>
      <c r="F61" s="12"/>
      <c r="G61" s="12"/>
      <c r="H61" s="12"/>
      <c r="I61" s="12">
        <v>1</v>
      </c>
      <c r="J61" s="29">
        <v>280000</v>
      </c>
      <c r="K61" s="29">
        <f t="shared" si="0"/>
        <v>280000</v>
      </c>
      <c r="L61" s="8" t="s">
        <v>40</v>
      </c>
      <c r="M61" s="31"/>
      <c r="N61" s="31"/>
      <c r="O61" s="31"/>
      <c r="P61" s="27" t="s">
        <v>143</v>
      </c>
      <c r="Q61" s="27"/>
      <c r="R61" s="31"/>
      <c r="S61" s="31"/>
      <c r="T61" s="19">
        <v>0.05</v>
      </c>
      <c r="U61" s="31"/>
      <c r="V61" s="31"/>
    </row>
    <row r="62" spans="2:22" s="30" customFormat="1" ht="39" customHeight="1" x14ac:dyDescent="0.3">
      <c r="B62" s="12" t="s">
        <v>151</v>
      </c>
      <c r="C62" s="31" t="s">
        <v>152</v>
      </c>
      <c r="D62" s="31"/>
      <c r="E62" s="12" t="s">
        <v>88</v>
      </c>
      <c r="F62" s="12"/>
      <c r="G62" s="12"/>
      <c r="H62" s="12"/>
      <c r="I62" s="12">
        <v>1</v>
      </c>
      <c r="J62" s="29">
        <v>320000</v>
      </c>
      <c r="K62" s="29">
        <f t="shared" si="0"/>
        <v>320000</v>
      </c>
      <c r="L62" s="8" t="s">
        <v>40</v>
      </c>
      <c r="M62" s="31"/>
      <c r="N62" s="31"/>
      <c r="O62" s="31"/>
      <c r="P62" s="27" t="s">
        <v>143</v>
      </c>
      <c r="Q62" s="27"/>
      <c r="R62" s="31"/>
      <c r="S62" s="31"/>
      <c r="T62" s="19">
        <v>0.05</v>
      </c>
      <c r="U62" s="31"/>
      <c r="V62" s="31"/>
    </row>
    <row r="63" spans="2:22" s="30" customFormat="1" ht="39" customHeight="1" x14ac:dyDescent="0.3">
      <c r="B63" s="12" t="s">
        <v>153</v>
      </c>
      <c r="C63" s="31" t="s">
        <v>154</v>
      </c>
      <c r="D63" s="31"/>
      <c r="E63" s="12" t="s">
        <v>88</v>
      </c>
      <c r="F63" s="12"/>
      <c r="G63" s="12"/>
      <c r="H63" s="12"/>
      <c r="I63" s="12">
        <v>1</v>
      </c>
      <c r="J63" s="29">
        <v>650000</v>
      </c>
      <c r="K63" s="29">
        <f t="shared" si="0"/>
        <v>650000</v>
      </c>
      <c r="L63" s="8" t="s">
        <v>40</v>
      </c>
      <c r="M63" s="31"/>
      <c r="N63" s="31"/>
      <c r="O63" s="31"/>
      <c r="P63" s="27" t="s">
        <v>143</v>
      </c>
      <c r="Q63" s="27"/>
      <c r="R63" s="31"/>
      <c r="S63" s="31"/>
      <c r="T63" s="19">
        <v>0.05</v>
      </c>
      <c r="U63" s="31"/>
      <c r="V63" s="31"/>
    </row>
    <row r="64" spans="2:22" s="30" customFormat="1" ht="39" customHeight="1" x14ac:dyDescent="0.3">
      <c r="B64" s="12" t="s">
        <v>155</v>
      </c>
      <c r="C64" s="31" t="s">
        <v>156</v>
      </c>
      <c r="D64" s="31"/>
      <c r="E64" s="12" t="s">
        <v>23</v>
      </c>
      <c r="F64" s="12"/>
      <c r="G64" s="12"/>
      <c r="H64" s="12"/>
      <c r="I64" s="12">
        <v>1</v>
      </c>
      <c r="J64" s="29">
        <v>410000</v>
      </c>
      <c r="K64" s="29">
        <f t="shared" si="0"/>
        <v>410000</v>
      </c>
      <c r="L64" s="8" t="s">
        <v>40</v>
      </c>
      <c r="M64" s="31"/>
      <c r="N64" s="31"/>
      <c r="O64" s="31"/>
      <c r="P64" s="27" t="s">
        <v>143</v>
      </c>
      <c r="Q64" s="27"/>
      <c r="R64" s="31"/>
      <c r="S64" s="31"/>
      <c r="T64" s="19">
        <v>0.05</v>
      </c>
      <c r="U64" s="31"/>
      <c r="V64" s="31"/>
    </row>
    <row r="65" spans="2:22" s="30" customFormat="1" ht="39" customHeight="1" x14ac:dyDescent="0.3">
      <c r="B65" s="12" t="s">
        <v>157</v>
      </c>
      <c r="C65" s="31" t="s">
        <v>158</v>
      </c>
      <c r="D65" s="31"/>
      <c r="E65" s="12" t="s">
        <v>88</v>
      </c>
      <c r="F65" s="12"/>
      <c r="G65" s="12"/>
      <c r="H65" s="12"/>
      <c r="I65" s="12">
        <v>1</v>
      </c>
      <c r="J65" s="29">
        <v>650000</v>
      </c>
      <c r="K65" s="29">
        <f t="shared" si="0"/>
        <v>650000</v>
      </c>
      <c r="L65" s="8" t="s">
        <v>40</v>
      </c>
      <c r="M65" s="31"/>
      <c r="N65" s="31"/>
      <c r="O65" s="31"/>
      <c r="P65" s="27" t="s">
        <v>143</v>
      </c>
      <c r="Q65" s="27"/>
      <c r="R65" s="31"/>
      <c r="S65" s="31"/>
      <c r="T65" s="19">
        <v>0.05</v>
      </c>
      <c r="U65" s="31"/>
      <c r="V65" s="31"/>
    </row>
    <row r="66" spans="2:22" s="30" customFormat="1" ht="39" customHeight="1" x14ac:dyDescent="0.3">
      <c r="B66" s="12" t="s">
        <v>159</v>
      </c>
      <c r="C66" s="31" t="s">
        <v>160</v>
      </c>
      <c r="D66" s="31"/>
      <c r="E66" s="12" t="s">
        <v>88</v>
      </c>
      <c r="F66" s="12"/>
      <c r="G66" s="12"/>
      <c r="H66" s="12"/>
      <c r="I66" s="12">
        <v>1</v>
      </c>
      <c r="J66" s="29">
        <v>950000</v>
      </c>
      <c r="K66" s="29">
        <f t="shared" si="0"/>
        <v>950000</v>
      </c>
      <c r="L66" s="8" t="s">
        <v>40</v>
      </c>
      <c r="M66" s="31"/>
      <c r="N66" s="31"/>
      <c r="O66" s="31"/>
      <c r="P66" s="27" t="s">
        <v>143</v>
      </c>
      <c r="Q66" s="27"/>
      <c r="R66" s="31"/>
      <c r="S66" s="31"/>
      <c r="T66" s="19">
        <v>0.05</v>
      </c>
      <c r="U66" s="31"/>
      <c r="V66" s="31"/>
    </row>
    <row r="67" spans="2:22" s="30" customFormat="1" ht="39" customHeight="1" x14ac:dyDescent="0.3">
      <c r="B67" s="12" t="s">
        <v>161</v>
      </c>
      <c r="C67" s="31" t="s">
        <v>162</v>
      </c>
      <c r="D67" s="31"/>
      <c r="E67" s="12" t="s">
        <v>23</v>
      </c>
      <c r="F67" s="12"/>
      <c r="G67" s="12"/>
      <c r="H67" s="12"/>
      <c r="I67" s="12">
        <v>1</v>
      </c>
      <c r="J67" s="29">
        <v>210000</v>
      </c>
      <c r="K67" s="29">
        <f t="shared" si="0"/>
        <v>210000</v>
      </c>
      <c r="L67" s="8" t="s">
        <v>40</v>
      </c>
      <c r="M67" s="31"/>
      <c r="N67" s="31"/>
      <c r="O67" s="31"/>
      <c r="P67" s="27" t="s">
        <v>143</v>
      </c>
      <c r="Q67" s="27"/>
      <c r="R67" s="31"/>
      <c r="S67" s="31"/>
      <c r="T67" s="19">
        <v>0.05</v>
      </c>
      <c r="U67" s="31"/>
      <c r="V67" s="31"/>
    </row>
    <row r="68" spans="2:22" s="30" customFormat="1" ht="39" customHeight="1" x14ac:dyDescent="0.3">
      <c r="B68" s="12" t="s">
        <v>161</v>
      </c>
      <c r="C68" s="33" t="s">
        <v>163</v>
      </c>
      <c r="D68" s="33"/>
      <c r="E68" s="12" t="s">
        <v>23</v>
      </c>
      <c r="F68" s="13"/>
      <c r="G68" s="13"/>
      <c r="H68" s="13"/>
      <c r="I68" s="12">
        <v>1</v>
      </c>
      <c r="J68" s="29">
        <v>210000</v>
      </c>
      <c r="K68" s="29">
        <f t="shared" si="0"/>
        <v>210000</v>
      </c>
      <c r="L68" s="8" t="s">
        <v>40</v>
      </c>
      <c r="M68" s="33"/>
      <c r="N68" s="33"/>
      <c r="O68" s="33"/>
      <c r="P68" s="27" t="s">
        <v>143</v>
      </c>
      <c r="Q68" s="34"/>
      <c r="R68" s="33"/>
      <c r="S68" s="33"/>
      <c r="T68" s="19">
        <v>0.15</v>
      </c>
      <c r="U68" s="33"/>
      <c r="V68" s="33"/>
    </row>
    <row r="69" spans="2:22" s="30" customFormat="1" ht="30" customHeight="1" x14ac:dyDescent="0.3">
      <c r="B69" s="12" t="s">
        <v>164</v>
      </c>
      <c r="C69" s="28" t="s">
        <v>165</v>
      </c>
      <c r="D69" s="28"/>
      <c r="E69" s="27" t="s">
        <v>88</v>
      </c>
      <c r="F69" s="27"/>
      <c r="G69" s="27"/>
      <c r="H69" s="27"/>
      <c r="I69" s="12">
        <v>1</v>
      </c>
      <c r="J69" s="29">
        <v>310000</v>
      </c>
      <c r="K69" s="29">
        <f t="shared" si="0"/>
        <v>310000</v>
      </c>
      <c r="L69" s="8" t="s">
        <v>40</v>
      </c>
      <c r="M69" s="28"/>
      <c r="N69" s="28"/>
      <c r="O69" s="28"/>
      <c r="P69" s="28" t="s">
        <v>166</v>
      </c>
      <c r="Q69" s="28"/>
      <c r="R69" s="28"/>
      <c r="S69" s="28"/>
      <c r="T69" s="19">
        <v>0.15</v>
      </c>
      <c r="U69" s="28"/>
      <c r="V69" s="28"/>
    </row>
    <row r="70" spans="2:22" s="30" customFormat="1" ht="35.25" customHeight="1" x14ac:dyDescent="0.3">
      <c r="B70" s="12" t="s">
        <v>167</v>
      </c>
      <c r="C70" s="31" t="s">
        <v>168</v>
      </c>
      <c r="D70" s="31"/>
      <c r="E70" s="12" t="s">
        <v>88</v>
      </c>
      <c r="F70" s="12"/>
      <c r="G70" s="12"/>
      <c r="H70" s="12"/>
      <c r="I70" s="12">
        <v>1</v>
      </c>
      <c r="J70" s="29">
        <v>560000</v>
      </c>
      <c r="K70" s="29">
        <f t="shared" ref="K70:K74" si="1">J70*I70</f>
        <v>560000</v>
      </c>
      <c r="L70" s="8" t="s">
        <v>40</v>
      </c>
      <c r="M70" s="31"/>
      <c r="N70" s="31"/>
      <c r="O70" s="31"/>
      <c r="P70" s="28" t="s">
        <v>166</v>
      </c>
      <c r="Q70" s="28"/>
      <c r="R70" s="31"/>
      <c r="S70" s="31"/>
      <c r="T70" s="19">
        <v>0.15</v>
      </c>
      <c r="U70" s="31"/>
      <c r="V70" s="31"/>
    </row>
    <row r="71" spans="2:22" s="30" customFormat="1" ht="35.25" customHeight="1" x14ac:dyDescent="0.3">
      <c r="B71" s="12" t="s">
        <v>169</v>
      </c>
      <c r="C71" s="31" t="s">
        <v>170</v>
      </c>
      <c r="D71" s="31"/>
      <c r="E71" s="12" t="s">
        <v>88</v>
      </c>
      <c r="F71" s="12"/>
      <c r="G71" s="12"/>
      <c r="H71" s="12"/>
      <c r="I71" s="12">
        <v>1</v>
      </c>
      <c r="J71" s="29">
        <v>430000</v>
      </c>
      <c r="K71" s="29">
        <f t="shared" si="1"/>
        <v>430000</v>
      </c>
      <c r="L71" s="8" t="s">
        <v>40</v>
      </c>
      <c r="M71" s="31"/>
      <c r="N71" s="31"/>
      <c r="O71" s="31"/>
      <c r="P71" s="28" t="s">
        <v>166</v>
      </c>
      <c r="Q71" s="28"/>
      <c r="R71" s="31"/>
      <c r="S71" s="31"/>
      <c r="T71" s="19">
        <v>0.15</v>
      </c>
      <c r="U71" s="31"/>
      <c r="V71" s="31"/>
    </row>
    <row r="72" spans="2:22" s="30" customFormat="1" ht="35.25" customHeight="1" x14ac:dyDescent="0.3">
      <c r="B72" s="12" t="s">
        <v>171</v>
      </c>
      <c r="C72" s="31" t="s">
        <v>172</v>
      </c>
      <c r="D72" s="31"/>
      <c r="E72" s="12" t="s">
        <v>88</v>
      </c>
      <c r="F72" s="12"/>
      <c r="G72" s="12"/>
      <c r="H72" s="12"/>
      <c r="I72" s="12">
        <v>1</v>
      </c>
      <c r="J72" s="29">
        <v>430000</v>
      </c>
      <c r="K72" s="29">
        <f t="shared" si="1"/>
        <v>430000</v>
      </c>
      <c r="L72" s="8" t="s">
        <v>40</v>
      </c>
      <c r="M72" s="31"/>
      <c r="N72" s="31"/>
      <c r="O72" s="31"/>
      <c r="P72" s="28" t="s">
        <v>166</v>
      </c>
      <c r="Q72" s="28"/>
      <c r="R72" s="12"/>
      <c r="S72" s="12"/>
      <c r="T72" s="19">
        <v>0.15</v>
      </c>
      <c r="U72" s="31"/>
      <c r="V72" s="31"/>
    </row>
    <row r="73" spans="2:22" s="30" customFormat="1" ht="35.25" customHeight="1" x14ac:dyDescent="0.3">
      <c r="B73" s="12" t="s">
        <v>173</v>
      </c>
      <c r="C73" s="31" t="s">
        <v>174</v>
      </c>
      <c r="D73" s="31"/>
      <c r="E73" s="12" t="s">
        <v>88</v>
      </c>
      <c r="F73" s="12"/>
      <c r="G73" s="12"/>
      <c r="H73" s="12"/>
      <c r="I73" s="12">
        <v>1</v>
      </c>
      <c r="J73" s="29">
        <v>650000</v>
      </c>
      <c r="K73" s="29">
        <f t="shared" si="1"/>
        <v>650000</v>
      </c>
      <c r="L73" s="8" t="s">
        <v>40</v>
      </c>
      <c r="M73" s="31"/>
      <c r="N73" s="31"/>
      <c r="O73" s="31"/>
      <c r="P73" s="28" t="s">
        <v>166</v>
      </c>
      <c r="Q73" s="28"/>
      <c r="R73" s="31"/>
      <c r="S73" s="31"/>
      <c r="T73" s="19">
        <v>0.15</v>
      </c>
      <c r="U73" s="31"/>
      <c r="V73" s="31"/>
    </row>
    <row r="74" spans="2:22" s="30" customFormat="1" ht="35.25" customHeight="1" x14ac:dyDescent="0.3">
      <c r="B74" s="12" t="s">
        <v>175</v>
      </c>
      <c r="C74" s="31" t="s">
        <v>176</v>
      </c>
      <c r="D74" s="31"/>
      <c r="E74" s="12" t="s">
        <v>88</v>
      </c>
      <c r="F74" s="12"/>
      <c r="G74" s="12"/>
      <c r="H74" s="12"/>
      <c r="I74" s="12">
        <v>1</v>
      </c>
      <c r="J74" s="29">
        <v>650000</v>
      </c>
      <c r="K74" s="29">
        <f t="shared" si="1"/>
        <v>650000</v>
      </c>
      <c r="L74" s="8" t="s">
        <v>40</v>
      </c>
      <c r="M74" s="31"/>
      <c r="N74" s="31"/>
      <c r="O74" s="31"/>
      <c r="P74" s="28" t="s">
        <v>166</v>
      </c>
      <c r="Q74" s="28"/>
      <c r="R74" s="31"/>
      <c r="S74" s="31"/>
      <c r="T74" s="19">
        <v>0.15</v>
      </c>
      <c r="U74" s="31"/>
      <c r="V74" s="3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COMBINED LK (4)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BILLING CLAMS</dc:creator>
  <cp:lastModifiedBy>BILLING CLAMS</cp:lastModifiedBy>
  <dcterms:created xsi:type="dcterms:W3CDTF">2025-10-30T14:09:16Z</dcterms:created>
  <dcterms:modified xsi:type="dcterms:W3CDTF">2025-10-30T14:11:01Z</dcterms:modified>
</cp:coreProperties>
</file>